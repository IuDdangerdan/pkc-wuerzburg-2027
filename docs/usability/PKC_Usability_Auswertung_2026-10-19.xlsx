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d935a526e844f36" /></Relationships>
</file>

<file path=xl/workbook.xml><?xml version="1.0" encoding="utf-8"?>
<x:workbook xmlns:x="http://schemas.openxmlformats.org/spreadsheetml/2006/main">
  <x:sheets>
    <x:sheet xmlns:r="http://schemas.openxmlformats.org/officeDocument/2006/relationships" name="Tabelle1" sheetId="1" r:id="R07d1a400e4bd4293"/>
    <x:sheet xmlns:r="http://schemas.openxmlformats.org/officeDocument/2006/relationships" name="Quellen und Zuordnung" sheetId="2" r:id="R8d77c199853e4cfe"/>
    <x:sheet xmlns:r="http://schemas.openxmlformats.org/officeDocument/2006/relationships" name="Kursbezug und Nachtest" sheetId="3" r:id="R458ca30781cd4123"/>
  </x:sheets>
</x:workbook>
</file>

<file path=xl/sharedStrings.xml><?xml version="1.0" encoding="utf-8"?>
<x:sst xmlns:x="http://schemas.openxmlformats.org/spreadsheetml/2006/main">
  <x:si>
    <x:t xml:space="preserve">1. Notizen: Beobachtungen &amp; Zitate für alle kritischen Ereignisse</x:t>
  </x:si>
  <x:si>
    <x:t xml:space="preserve">Schweregrad</x:t>
  </x:si>
  <x:si>
    <x:t xml:space="preserve">Definition</x:t>
  </x:si>
  <x:si>
    <x:t xml:space="preserve">kein Usability-Problem</x:t>
  </x:si>
  <x:si>
    <x:t xml:space="preserve">Alles funktioniert und ist leicht bedienbar.</x:t>
  </x:si>
  <x:si>
    <x:t xml:space="preserve">kleines Usability-Problem</x:t>
  </x:si>
  <x:si>
    <x:t xml:space="preserve">"kosmetisches Problem": Etwas ist nicht schön umgesetzt und wirkt störend. Die entsprechende Schwachstelle führt aber nicht direkt zu Fehlern in der Bedienung.</x:t>
  </x:si>
  <x:si>
    <x:t xml:space="preserve">mittleres Usability-Problem</x:t>
  </x:si>
  <x:si>
    <x:t xml:space="preserve">Die gefundene Schwachstelle kann zu Fehlern in der Bedienung führen, verhindert aber nicht zwingend, dass der Anwender seine Ziele erreicht.</x:t>
  </x:si>
  <x:si>
    <x:t xml:space="preserve">schweres Usability-Problem</x:t>
  </x:si>
  <x:si>
    <x:t xml:space="preserve">Die gefundene Schwachstelle hindert den Anwender daran, seine Aufgaben zu bearbeiten bzw. seine Ziele zu erreichen.</x:t>
  </x:si>
</x:sst>
</file>

<file path=xl/styles.xml><?xml version="1.0" encoding="utf-8"?>
<x:styleSheet xmlns:x="http://schemas.openxmlformats.org/spreadsheetml/2006/main">
  <x:numFmts count="1">
    <x:numFmt numFmtId="200" formatCode="0.00"/>
  </x:numFmts>
  <x:fonts count="15">
    <x:font>
      <x:sz val="11"/>
      <x:color theme="1"/>
      <x:name val="Calibri"/>
      <x:family val="2"/>
      <x:scheme val="minor"/>
    </x:font>
    <x:font>
      <x:sz val="28"/>
      <x:color theme="0" tint="-0.49998"/>
      <x:name val="Calibri"/>
      <x:family val="2"/>
      <x:scheme val="minor"/>
    </x:font>
    <x:font>
      <x:sz val="11"/>
      <x:name val="Calibri"/>
      <x:family val="2"/>
      <x:scheme val="minor"/>
    </x:font>
    <x:font>
      <x:b/>
      <x:sz val="11"/>
      <x:color theme="1"/>
      <x:name val="Calibri"/>
      <x:family val="2"/>
      <x:scheme val="minor"/>
    </x:font>
    <x:font>
      <x:b/>
      <x:sz val="11"/>
      <x:color theme="1"/>
      <x:name val="Arial"/>
      <x:family val="2"/>
      <x:scheme val="minor"/>
    </x:font>
    <x:font>
      <x:sz val="11"/>
      <x:color theme="1"/>
      <x:name val="Arial"/>
      <x:family val="2"/>
      <x:scheme val="minor"/>
    </x:font>
    <x:font>
      <x:sz val="11"/>
      <x:name val="Arial"/>
      <x:family val="2"/>
      <x:scheme val="minor"/>
    </x:font>
    <x:font>
      <x:sz val="28"/>
      <x:color theme="0" tint="-0.49998"/>
      <x:name val="Arial"/>
      <x:family val="2"/>
      <x:scheme val="minor"/>
    </x:font>
    <x:font>
      <x:sz val="11"/>
      <x:color theme="0" tint="-0.49998"/>
      <x:name val="Arial"/>
      <x:family val="2"/>
      <x:scheme val="minor"/>
    </x:font>
    <x:font>
      <x:sz val="11"/>
      <x:color rgb="FFFFFFFF"/>
      <x:name val="Arial"/>
      <x:family val="2"/>
      <x:scheme val="minor"/>
    </x:font>
    <x:font>
      <x:b/>
      <x:sz val="16"/>
      <x:color theme="1"/>
      <x:name val="Arial"/>
      <x:family val="2"/>
      <x:scheme val="minor"/>
    </x:font>
    <x:font>
      <x:sz val="16"/>
      <x:color theme="0" tint="-0.49998"/>
      <x:name val="Calibri"/>
      <x:family val="2"/>
      <x:scheme val="minor"/>
    </x:font>
    <x:font>
      <x:sz val="16"/>
      <x:color theme="0" tint="-0.49998"/>
      <x:name val="Arial"/>
      <x:family val="2"/>
      <x:scheme val="minor"/>
    </x:font>
    <x:font>
      <x:sz val="16"/>
      <x:color theme="1"/>
      <x:name val="Arial"/>
      <x:family val="2"/>
      <x:scheme val="minor"/>
    </x:font>
    <x:font>
      <x:b/>
      <x:sz val="11"/>
      <x:color rgb="FFFFFFFF"/>
      <x:name val="Arial"/>
      <x:family val="2"/>
      <x:scheme val="minor"/>
    </x:font>
  </x:fonts>
  <x:fills count="6">
    <x:fill>
      <x:patternFill patternType="none"/>
    </x:fill>
    <x:fill>
      <x:patternFill patternType="gray125"/>
    </x:fill>
    <x:fill>
      <x:patternFill patternType="solid">
        <x:fgColor theme="7" tint="0.79998"/>
      </x:patternFill>
    </x:fill>
    <x:fill>
      <x:patternFill patternType="solid">
        <x:fgColor rgb="FFA6A6A6"/>
      </x:patternFill>
    </x:fill>
    <x:fill>
      <x:patternFill patternType="solid">
        <x:fgColor rgb="FFECECEC"/>
      </x:patternFill>
    </x:fill>
    <x:fill>
      <x:patternFill patternType="solid">
        <x:fgColor rgb="FFFFFFFF"/>
      </x:patternFill>
    </x:fill>
  </x:fills>
  <x:borders count="1">
    <x:border>
      <x:left/>
      <x:right/>
      <x:top/>
      <x:bottom/>
      <x:diagonal/>
    </x:border>
  </x:borders>
  <x:cellStyleXfs count="1">
    <x:xf numFmtId="0" fontId="0" fillId="0" borderId="0"/>
  </x:cellStyleXfs>
  <x:cellXfs count="42">
    <x:xf numFmtId="0" fontId="0" fillId="0" borderId="0" xfId="0"/>
    <x:xf numFmtId="0" fontId="0" fillId="0" borderId="0" xfId="0" applyAlignment="1">
      <x:alignment horizontal="left" vertical="top" wrapText="1"/>
    </x:xf>
    <x:xf numFmtId="0" fontId="0" fillId="0" borderId="0" xfId="0" applyAlignment="1">
      <x:alignment horizontal="right" vertical="top" wrapText="1"/>
    </x:xf>
    <x:xf numFmtId="0" fontId="2" fillId="0" borderId="0" xfId="0" applyFont="1" applyAlignment="1">
      <x:alignment horizontal="left" vertical="top" wrapText="1"/>
    </x:xf>
    <x:xf numFmtId="0" fontId="2" fillId="0" borderId="0" xfId="0" applyFont="1" applyAlignment="1">
      <x:alignment horizontal="right" vertical="top" wrapText="1"/>
    </x:xf>
    <x:xf numFmtId="0" fontId="0" fillId="0" borderId="0" xfId="0" applyAlignment="1">
      <x:alignment wrapText="1"/>
    </x:xf>
    <x:xf numFmtId="0" fontId="2" fillId="2" borderId="0" xfId="0" applyFont="1" applyFill="1" applyAlignment="1">
      <x:alignment horizontal="left" vertical="top" wrapText="1"/>
    </x:xf>
    <x:xf numFmtId="0" fontId="3" fillId="0" borderId="0" xfId="0" applyFont="1" applyAlignment="1">
      <x:alignment horizontal="left" vertical="top" wrapText="1"/>
    </x:xf>
    <x:xf numFmtId="0" fontId="3" fillId="0" borderId="0" xfId="0" applyFont="1" applyAlignment="1">
      <x:alignment horizontal="right" vertical="top" wrapText="1"/>
    </x:xf>
    <x:xf numFmtId="0" fontId="3" fillId="2" borderId="0" xfId="0" applyFont="1" applyFill="1" applyAlignment="1">
      <x:alignment horizontal="right" vertical="top" wrapText="1"/>
    </x:xf>
    <x:xf numFmtId="0" fontId="1" fillId="0" borderId="0" xfId="0" applyFont="1" applyAlignment="1">
      <x:alignment horizontal="left" wrapText="1"/>
    </x:xf>
    <x:xf numFmtId="0" fontId="4" fillId="0" borderId="0" xfId="0" applyNumberFormat="1" applyFont="1" applyFill="1" applyBorder="1" applyAlignment="1">
      <x:alignment horizontal="left" vertical="top" wrapText="1"/>
    </x:xf>
    <x:xf numFmtId="0" fontId="5" fillId="0" borderId="0" xfId="0" applyNumberFormat="1" applyFont="1" applyFill="1" applyBorder="1" applyAlignment="1">
      <x:alignment horizontal="left" vertical="top" wrapText="1"/>
    </x:xf>
    <x:xf numFmtId="0" fontId="4" fillId="0" borderId="0" xfId="0" applyNumberFormat="1" applyFont="1" applyFill="1" applyBorder="1" applyAlignment="1">
      <x:alignment horizontal="right" vertical="top" wrapText="1"/>
    </x:xf>
    <x:xf numFmtId="0" fontId="5" fillId="0" borderId="0" xfId="0" applyNumberFormat="1" applyFont="1" applyFill="1" applyBorder="1" applyAlignment="1">
      <x:alignment wrapText="1"/>
    </x:xf>
    <x:xf numFmtId="0" fontId="6" fillId="0" borderId="0" xfId="0" applyNumberFormat="1" applyFont="1" applyFill="1" applyBorder="1" applyAlignment="1">
      <x:alignment horizontal="left" vertical="top" wrapText="1"/>
    </x:xf>
    <x:xf numFmtId="0" fontId="6" fillId="2" borderId="0" xfId="0" applyNumberFormat="1" applyFont="1" applyFill="1" applyBorder="1" applyAlignment="1">
      <x:alignment horizontal="left" vertical="top" wrapText="1"/>
    </x:xf>
    <x:xf numFmtId="0" fontId="6" fillId="0" borderId="0" xfId="0" applyNumberFormat="1" applyFont="1" applyFill="1" applyBorder="1" applyAlignment="1">
      <x:alignment horizontal="right" vertical="top" wrapText="1"/>
    </x:xf>
    <x:xf numFmtId="0" fontId="7" fillId="0" borderId="0" xfId="0" applyNumberFormat="1" applyFont="1" applyFill="1" applyBorder="1" applyAlignment="1">
      <x:alignment horizontal="left" wrapText="1"/>
    </x:xf>
    <x:xf numFmtId="0" fontId="5" fillId="0" borderId="0" xfId="0" applyNumberFormat="1" applyFont="1" applyFill="1" applyBorder="1" applyAlignment="1">
      <x:alignment horizontal="right" vertical="top" wrapText="1"/>
    </x:xf>
    <x:xf numFmtId="0" fontId="8" fillId="0" borderId="0" xfId="0" applyNumberFormat="1" applyFont="1" applyFill="1" applyBorder="1" applyAlignment="1">
      <x:alignment horizontal="left" wrapText="1"/>
    </x:xf>
    <x:xf numFmtId="0" fontId="5" fillId="0" borderId="0" xfId="0" applyNumberFormat="1" applyFont="1" applyFill="1" applyBorder="1" applyAlignment="1">
      <x:alignment vertical="top" wrapText="1"/>
    </x:xf>
    <x:xf numFmtId="0" fontId="8" fillId="0" borderId="0" xfId="0" applyNumberFormat="1" applyFont="1" applyFill="1" applyBorder="1" applyAlignment="1">
      <x:alignment horizontal="left" vertical="top" wrapText="1"/>
    </x:xf>
    <x:xf numFmtId="0" fontId="5" fillId="3" borderId="0" xfId="0" applyNumberFormat="1" applyFont="1" applyFill="1" applyBorder="1" applyAlignment="1">
      <x:alignment horizontal="left" vertical="top" wrapText="1"/>
    </x:xf>
    <x:xf numFmtId="0" fontId="9" fillId="3" borderId="0" xfId="0" applyNumberFormat="1" applyFont="1" applyFill="1" applyBorder="1" applyAlignment="1">
      <x:alignment horizontal="left" vertical="top" wrapText="1"/>
    </x:xf>
    <x:xf numFmtId="0" fontId="10" fillId="0" borderId="0" xfId="0" applyNumberFormat="1" applyFont="1" applyFill="1" applyBorder="1" applyAlignment="1">
      <x:alignment horizontal="left" vertical="top" wrapText="1"/>
    </x:xf>
    <x:xf numFmtId="0" fontId="11" fillId="0" borderId="0" xfId="0" applyNumberFormat="1" applyFont="1" applyFill="1" applyBorder="1" applyAlignment="1">
      <x:alignment horizontal="left" wrapText="1"/>
    </x:xf>
    <x:xf numFmtId="0" fontId="12" fillId="0" borderId="0" xfId="0" applyNumberFormat="1" applyFont="1" applyFill="1" applyBorder="1" applyAlignment="1">
      <x:alignment horizontal="left" vertical="top" wrapText="1"/>
    </x:xf>
    <x:xf numFmtId="0" fontId="13" fillId="0" borderId="0" xfId="0" applyNumberFormat="1" applyFont="1" applyFill="1" applyBorder="1" applyAlignment="1">
      <x:alignment horizontal="left" vertical="top" wrapText="1"/>
    </x:xf>
    <x:xf numFmtId="200" fontId="0" fillId="0" borderId="0" xfId="0" applyNumberFormat="1" applyFont="1" applyFill="1" applyBorder="1" applyAlignment="1">
      <x:alignment horizontal="left" vertical="top" wrapText="1"/>
    </x:xf>
    <x:xf numFmtId="0" fontId="0" fillId="0" borderId="0" xfId="0" applyNumberFormat="1" applyFont="1" applyFill="1" applyBorder="1" applyAlignment="1">
      <x:alignment horizontal="left" vertical="top" wrapText="1"/>
    </x:xf>
    <x:xf numFmtId="0" fontId="4" fillId="3" borderId="0" xfId="0" applyNumberFormat="1" applyFont="1" applyFill="1" applyBorder="1" applyAlignment="1">
      <x:alignment horizontal="left" vertical="top" wrapText="1"/>
    </x:xf>
    <x:xf numFmtId="0" fontId="14" fillId="3" borderId="0" xfId="0" applyNumberFormat="1" applyFont="1" applyFill="1" applyBorder="1" applyAlignment="1">
      <x:alignment horizontal="left" vertical="top" wrapText="1"/>
    </x:xf>
    <x:xf numFmtId="0" fontId="6" fillId="4" borderId="0" xfId="0" applyNumberFormat="1" applyFont="1" applyFill="1" applyBorder="1" applyAlignment="1">
      <x:alignment horizontal="right" vertical="top" wrapText="1"/>
    </x:xf>
    <x:xf numFmtId="0" fontId="6" fillId="4" borderId="0" xfId="0" applyNumberFormat="1" applyFont="1" applyFill="1" applyBorder="1" applyAlignment="1">
      <x:alignment horizontal="left" vertical="top" wrapText="1"/>
    </x:xf>
    <x:xf numFmtId="0" fontId="6" fillId="5" borderId="0" xfId="0" applyNumberFormat="1" applyFont="1" applyFill="1" applyBorder="1" applyAlignment="1">
      <x:alignment horizontal="right" vertical="top" wrapText="1"/>
    </x:xf>
    <x:xf numFmtId="0" fontId="6" fillId="5" borderId="0" xfId="0" applyNumberFormat="1" applyFont="1" applyFill="1" applyBorder="1" applyAlignment="1">
      <x:alignment horizontal="left" vertical="top" wrapText="1"/>
    </x:xf>
    <x:xf numFmtId="0" fontId="5" fillId="0" borderId="0" xfId="0" applyNumberFormat="1" applyFont="1" applyFill="1" applyBorder="1"/>
    <x:xf numFmtId="0" fontId="5" fillId="4" borderId="0"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5" fillId="3" borderId="0" xfId="0" applyNumberFormat="1" applyFont="1" applyFill="1" applyBorder="1" applyAlignment="1">
      <x:alignment vertical="top" wrapText="1"/>
    </x:xf>
    <x:xf numFmtId="0" fontId="9" fillId="3" borderId="0" xfId="0" applyNumberFormat="1" applyFont="1" applyFill="1" applyBorder="1" applyAlignment="1">
      <x:alignment vertical="top" wrapText="1"/>
    </x:xf>
  </x:cellXfs>
  <x:cellStyles count="1">
    <x:cellStyle name="Standard" xfId="0"/>
  </x:cellStyles>
  <x:dxfs count="21">
    <x:dxf>
      <x:font>
        <x:u val="none"/>
        <x:sz val="11"/>
        <x:color auto="1"/>
        <x:name val="Calibri"/>
        <x:family val="2"/>
        <x:scheme val="minor"/>
      </x:font>
    </x:dxf>
    <x:dxf>
      <x:font>
        <x:u val="none"/>
        <x:sz val="11"/>
        <x:color auto="1"/>
        <x:name val="Calibri"/>
        <x:family val="2"/>
        <x:scheme val="minor"/>
      </x:font>
    </x:dxf>
    <x:dxf>
      <x:font>
        <x:u val="none"/>
        <x:sz val="11"/>
        <x:color auto="1"/>
        <x:name val="Calibri"/>
        <x:family val="2"/>
        <x:scheme val="minor"/>
      </x:font>
    </x:dxf>
    <x:dxf>
      <x:font>
        <x:u val="none"/>
        <x:sz val="11"/>
        <x:color auto="1"/>
        <x:name val="Calibri"/>
        <x:family val="2"/>
        <x:scheme val="minor"/>
      </x:font>
    </x:dxf>
    <x:dxf>
      <x:font>
        <x:u val="none"/>
        <x:sz val="11"/>
        <x:color auto="1"/>
        <x:name val="Calibri"/>
        <x:family val="2"/>
        <x:scheme val="minor"/>
      </x:font>
    </x:dxf>
    <x:dxf>
      <x:font>
        <x:u val="none"/>
        <x:sz val="11"/>
        <x:color auto="1"/>
        <x:name val="Calibri"/>
        <x:family val="2"/>
        <x:scheme val="minor"/>
      </x:font>
    </x:dxf>
    <x:dxf>
      <x:font>
        <x:u val="none"/>
        <x:sz val="11"/>
        <x:color auto="1"/>
        <x:name val="Calibri"/>
        <x:family val="2"/>
        <x:scheme val="minor"/>
      </x:font>
    </x:dxf>
    <x:dxf>
      <x:font>
        <x:u val="none"/>
        <x:sz val="11"/>
        <x:color auto="1"/>
        <x:name val="Calibri"/>
        <x:family val="2"/>
        <x:scheme val="minor"/>
      </x:font>
    </x:dxf>
    <x:dxf/>
    <x:dxf/>
    <x:dxf/>
    <x:dxf/>
    <x:dxf/>
    <x:dxf>
      <x:font>
        <x:u val="none"/>
        <x:sz val="11"/>
        <x:color auto="1"/>
        <x:name val="Calibri"/>
        <x:family val="2"/>
        <x:scheme val="minor"/>
      </x:font>
    </x:dxf>
    <x:dxf>
      <x:font>
        <x:u val="none"/>
        <x:sz val="11"/>
        <x:color auto="1"/>
        <x:name val="Calibri"/>
        <x:family val="2"/>
        <x:scheme val="minor"/>
      </x:font>
    </x:dxf>
    <x:dxf>
      <x:font>
        <x:u val="none"/>
        <x:sz val="11"/>
        <x:color auto="1"/>
        <x:name val="Calibri"/>
        <x:family val="2"/>
        <x:scheme val="minor"/>
      </x:font>
    </x:dxf>
    <x:dxf>
      <x:font>
        <x:u val="none"/>
        <x:sz val="11"/>
        <x:color auto="1"/>
        <x:name val="Calibri"/>
        <x:family val="2"/>
        <x:scheme val="minor"/>
      </x:font>
    </x:dxf>
    <x:dxf>
      <x:font>
        <x:u val="none"/>
        <x:sz val="11"/>
        <x:color auto="1"/>
        <x:name val="Calibri"/>
        <x:family val="2"/>
        <x:scheme val="minor"/>
      </x:font>
    </x:dxf>
    <x:dxf>
      <x:font>
        <x:b/>
      </x:font>
    </x:dxf>
    <x:dxf/>
    <x:dxf/>
  </x:dxfs>
</x:styleSheet>
</file>

<file path=xl/_rels/workbook.xml.rels>&#65279;<?xml version="1.0" encoding="utf-8"?><Relationships xmlns="http://schemas.openxmlformats.org/package/2006/relationships"><Relationship Type="http://schemas.openxmlformats.org/officeDocument/2006/relationships/styles" Target="/xl/styles.xml" Id="R02a758c08bb540f9" /><Relationship Type="http://schemas.openxmlformats.org/officeDocument/2006/relationships/theme" Target="/xl/theme/theme1.xml" Id="Rd02104d0320e453c" /><Relationship Type="http://schemas.openxmlformats.org/officeDocument/2006/relationships/sharedStrings" Target="/xl/sharedStrings.xml" Id="Re89e21f65c204146" /><Relationship Type="http://schemas.openxmlformats.org/officeDocument/2006/relationships/worksheet" Target="/xl/worksheets/sheet1.xml" Id="R07d1a400e4bd4293" /><Relationship Type="http://schemas.openxmlformats.org/officeDocument/2006/relationships/worksheet" Target="/xl/worksheets/sheet2.xml" Id="R8d77c199853e4cfe" /><Relationship Type="http://schemas.openxmlformats.org/officeDocument/2006/relationships/worksheet" Target="/xl/worksheets/sheet3.xml" Id="R458ca30781cd4123" /></Relationships>
</file>

<file path=xl/tables/table1.xml><?xml version="1.0" encoding="utf-8"?>
<x:table xmlns:x="http://schemas.openxmlformats.org/spreadsheetml/2006/main" id="1" name="Table1" displayName="Table1" ref="A29:G43" headerRowCount="1" totalsRowCount="0" totalsRowShown="0">
  <x:tableColumns count="7">
    <x:tableColumn id="1" name="Ergebnis #"/>
    <x:tableColumn id="2" name="Aussagekräftiger Titel"/>
    <x:tableColumn id="3" name="Beschreibung"/>
    <x:tableColumn id="4" name="Schweregrad (vorläufig)"/>
    <x:tableColumn id="5" name="Aufgetreten in Aufgabe(n)"/>
    <x:tableColumn id="6" name="Teilnehmer-IDs"/>
    <x:tableColumn id="7" name="Anzahl Teilnehmer"/>
  </x:tableColumns>
  <x:tableStyleInfo name="TableStyleMedium2" showFirstColumn="0" showLastColumn="0" showRowStripes="1" showColumnStripes="0"/>
</x:table>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8d567a63554046a5" /></Relationships>
</file>

<file path=xl/worksheets/sheet1.xml><?xml version="1.0" encoding="utf-8"?>
<x:worksheet xmlns:x="http://schemas.openxmlformats.org/spreadsheetml/2006/main">
  <x:sheetViews>
    <x:sheetView showGridLines="0" workbookViewId="0">
      <x:pane ySplit="3" topLeftCell="A4" activePane="bottomLeft" state="frozen"/>
    </x:sheetView>
  </x:sheetViews>
  <x:sheetFormatPr baseColWidth="10" defaultColWidth="11.5546875" defaultRowHeight="14.399999618530273"/>
  <x:cols>
    <x:col min="1" max="1" width="24" style="1" hidden="0" customWidth="1"/>
    <x:col min="2" max="6" width="51.88671875" style="1" customWidth="1"/>
    <x:col min="7" max="16384" width="11.5546875" style="1" customWidth="0"/>
    <x:col min="2" max="2" width="48" hidden="0" customWidth="1"/>
    <x:col min="3" max="3" width="48" hidden="0" customWidth="1"/>
    <x:col min="4" max="4" width="43" hidden="0" customWidth="1"/>
    <x:col min="5" max="5" width="43" hidden="0" customWidth="1"/>
    <x:col min="6" max="6" width="43" hidden="0" customWidth="1"/>
    <x:col min="7" max="7" width="14" hidden="0" customWidth="1"/>
  </x:cols>
  <x:sheetData>
    <x:row r="2" ht="36.599998474121094">
      <x:c r="A2" s="26" t="s">
        <x:v>0</x:v>
      </x:c>
      <x:c r="B2" s="26"/>
      <x:c r="C2" s="26"/>
      <x:c r="D2" s="26"/>
      <x:c r="E2" s="26"/>
      <x:c r="F2" s="26"/>
    </x:row>
    <x:row r="3" ht="40" customHeight="1">
      <x:c r="A3" s="32" t="str">
        <x:v>Teilnehmer-ID / Name</x:v>
      </x:c>
      <x:c r="B3" s="24" t="str">
        <x:v>1 · Busfrist finden</x:v>
      </x:c>
      <x:c r="C3" s="24" t="str">
        <x:v>2 · Anreise &amp; Unterkunft speichern</x:v>
      </x:c>
      <x:c r="D3" s="24" t="str">
        <x:v>3 · Testfrage senden</x:v>
      </x:c>
      <x:c r="E3" s="24" t="str">
        <x:v>4 · Test-Feedback geben</x:v>
      </x:c>
      <x:c r="F3" s="24" t="str">
        <x:v>Aufgabenübergreifende Auffälligkeiten</x:v>
      </x:c>
      <x:c r="G3" s="12"/>
    </x:row>
    <x:row r="4" ht="90" customHeight="1">
      <x:c r="A4" s="13" t="str">
        <x:v>P01 · Ella</x:v>
      </x:c>
      <x:c r="B4" s="21" t="str">
        <x:v>Keine konkrete Aussage zur Fristsuche.</x:v>
      </x:c>
      <x:c r="C4" s="15" t="str">
        <x:v>Selbstbericht: erst Anreise, dann Unterkunft ausgefüllt; Unterkunft gespeichert, Anreise danach leer. Zimmerpartner-Mehrfachauswahl ließ sich schlecht schließen, Fahrerwahl dagegen problemlos. [W, WA]</x:v>
      </x:c>
      <x:c r="D4" s="15" t="str">
        <x:v>Zunächst nicht gefunden; anschließend eine Testfrage gespeichert (17.10., 09:27 MESZ). [W, Q, WA]</x:v>
      </x:c>
      <x:c r="E4" s="15" t="str">
        <x:v>Feedback in Datenbank vorhanden; laut WA beim ersten Nachsehen für Daniel nicht sichtbar, später sichtbar ohne erneute Eingabe. Ursache offen. [W, WA]</x:v>
      </x:c>
      <x:c r="F4" s="16" t="str">
        <x:v>Positiv: intuitives Ausfüllen, wichtige Infos vorhanden. Zimmergemeinschaft zunächst optional/nicht zwingend; nach Erklärung Zustimmung zum Beibehalten. TinyURL-Zwischenseite irritierte. [W, WA]</x:v>
      </x:c>
      <x:c r="G4" s="12"/>
    </x:row>
    <x:row r="5" ht="75" customHeight="1">
      <x:c r="A5" s="13" t="str">
        <x:v>P02 · Jules</x:v>
      </x:c>
      <x:c r="B5" s="15" t="str">
        <x:v>Keine konkrete Aussage zur Fristsuche.</x:v>
      </x:c>
      <x:c r="C5" s="15" t="str">
        <x:v>Keine konkrete Aussage zu Eingabe oder Speichererfolg.</x:v>
      </x:c>
      <x:c r="D5" s="15" t="str">
        <x:v>„Testfrage konnte ich nicht schicken, weil ich nicht wusste, wo.“ In Datenbank keine Testfrage. [WA, Q]</x:v>
      </x:c>
      <x:c r="E5" s="15" t="str">
        <x:v>Feedback vorhanden. [W]</x:v>
      </x:c>
      <x:c r="F5" s="16" t="str">
        <x:v>Roter Kasten doppelt zu „Meine Planung“. Wünscht Festival-News; FAQ nicht sichtbar. Übersicht zu voll, nicht weit genug gescrollt. [W, WA]</x:v>
      </x:c>
      <x:c r="G5" s="12"/>
    </x:row>
    <x:row r="6" ht="75" customHeight="1">
      <x:c r="A6" s="13" t="str">
        <x:v>P03 · Martin</x:v>
      </x:c>
      <x:c r="B6" s="21" t="str">
        <x:v>Keine konkrete Aussage zur Fristsuche.</x:v>
      </x:c>
      <x:c r="C6" s="15" t="str">
        <x:v>Keine konkrete Aussage zu Eingabe oder Speichererfolg.</x:v>
      </x:c>
      <x:c r="D6" s="15" t="str">
        <x:v>Eine Testfrage gespeichert. [Q]</x:v>
      </x:c>
      <x:c r="E6" s="15" t="str">
        <x:v>„Den Test-Feedback Button finden. Das Scrollen zur Seite war nicht offensichtlich.“ [W]</x:v>
      </x:c>
      <x:c r="F6" s="16" t="str">
        <x:v>Zu viel Text, besonders Übersicht; wünscht Ablauf und Aufgabenlinks. Bedeutung „Nachrichten“ unklar; Herkunft/Echtheit des Hotel-PDFs unbekannt. [W, WA]</x:v>
      </x:c>
      <x:c r="G6" s="12"/>
    </x:row>
    <x:row r="7" ht="90" customHeight="1">
      <x:c r="A7" s="13" t="str">
        <x:v>P04 · Katzelbert</x:v>
      </x:c>
      <x:c r="B7" s="15" t="str">
        <x:v>Reiseoptionen klar und vielseitig; keine Aussage zur Fristsuche. [WA]</x:v>
      </x:c>
      <x:c r="C7" s="15" t="str">
        <x:v>„Ich hab jetzt erst mal alles gespeichert“ ist Selbstauskunft, kein verifizierter Abschluss aller Felder. [WA]</x:v>
      </x:c>
      <x:c r="D7" s="15" t="str">
        <x:v>Keine Aussage zur Testfrage.</x:v>
      </x:c>
      <x:c r="E7" s="15" t="str">
        <x:v>Auf Nachfrage „Wo kann ich das?“; nach Hinweis auf Test-Feedback Rückmeldung per WA. Kein Website-Feedbackbogen. [WA, W]</x:v>
      </x:c>
      <x:c r="F7" s="16" t="str">
        <x:v>Sehr einfach/intuitiv; Reiter verständlich; Übersicht „Wer ist wo“ zum Vernetzen hilfreich; nichts fehlt. Zuordnung Kathy über Überschrift Katzelbert im gelieferten Export. [WA]</x:v>
      </x:c>
      <x:c r="G7" s="12"/>
    </x:row>
    <x:row r="8" ht="65" customHeight="1">
      <x:c r="A8" s="13" t="str">
        <x:v>P05 · Anna</x:v>
      </x:c>
      <x:c r="B8" s="21" t="str">
        <x:v>Keine konkrete Aussage zur Fristsuche.</x:v>
      </x:c>
      <x:c r="C8" s="15" t="str">
        <x:v>„Hab bissl was eingetragen“; Umfang und Speichererfolg offen. [WA]</x:v>
      </x:c>
      <x:c r="D8" s="15" t="str">
        <x:v>„Den Reiter mit fragen und Antworten hab ich nicht direkt gefunden“. Keine gespeicherte Testfrage im Snapshot. [WA, Q]</x:v>
      </x:c>
      <x:c r="E8" s="15" t="str">
        <x:v>Kein Website-Feedbackbogen; Rückmeldung per WA.</x:v>
      </x:c>
      <x:c r="F8" s="16" t="str">
        <x:v>Positiv zum Projekt; sonst keine konkreten Angaben. [WA]</x:v>
      </x:c>
      <x:c r="G8" s="12"/>
    </x:row>
    <x:row r="9" ht="90" customHeight="1">
      <x:c r="A9" s="13" t="str">
        <x:v>P06 · Anja</x:v>
      </x:c>
      <x:c r="B9" s="15" t="str">
        <x:v>Keine konkrete Aussage zur Fristsuche.</x:v>
      </x:c>
      <x:c r="C9" s="15" t="str">
        <x:v>Anfangs unklar, wo etwas auszufüllen ist und wo nicht. Danach entspannt; kein nachgewiesener Speichererfolg. [WA]</x:v>
      </x:c>
      <x:c r="D9" s="15" t="str">
        <x:v>Eine Testfrage gespeichert. [Q]</x:v>
      </x:c>
      <x:c r="E9" s="15" t="str">
        <x:v>Feedback vorhanden. [W]</x:v>
      </x:c>
      <x:c r="F9" s="16" t="str">
        <x:v>Übersicht einfacher/übersichtlicher gewünscht. Anfangs viele Infos und Herumklicken; erwartet Chat nach Zimmerzuordnung, obwohl Nachrichten kein Chat sind. Sehr positives Gesamturteil. [W, WA]</x:v>
      </x:c>
      <x:c r="G9" s="12"/>
    </x:row>
    <x:row r="10" ht="90" customHeight="1">
      <x:c r="A10" s="13" t="str">
        <x:v>P07 · Mäc</x:v>
      </x:c>
      <x:c r="B10" s="21" t="str">
        <x:v>Keine konkrete Aussage zur Fristsuche.</x:v>
      </x:c>
      <x:c r="C10" s="15" t="str">
        <x:v>Screenshot: Unterkunftstatus bestätigt, Anreise laut Bericht ohne vergleichbaren Hinweis. Weiter „speichern“-Buttons trotz vorherigem Speichern verunsichern. Vermisst abschließenden „Abschicken“-Button. [S1, S2]</x:v>
      </x:c>
      <x:c r="D10" s="15" t="str">
        <x:v>Keine gespeicherte Testfrage im Snapshot. Daraus kein Scheitern ableitbar. [Q]</x:v>
      </x:c>
      <x:c r="E10" s="15" t="str">
        <x:v>Kein Website-Feedbackbogen; Screenshots mit Kommentaren.</x:v>
      </x:c>
      <x:c r="F10" s="16" t="str">
        <x:v>Formular wirkt umfangreich und perfektionistisch; Sorge, andere könnten abgeschreckt werden. Letzteres ist Einschätzung, kein beobachteter Abbruch anderer. [S1]</x:v>
      </x:c>
      <x:c r="G10" s="12"/>
    </x:row>
    <x:row r="11" ht="65" customHeight="1">
      <x:c r="A11" s="13" t="str">
        <x:v>P08 · Steven</x:v>
      </x:c>
      <x:c r="B11" s="15" t="str">
        <x:v>Keine konkrete Aussage zur Fristsuche.</x:v>
      </x:c>
      <x:c r="C11" s="15" t="str">
        <x:v>Wünscht Kennzeichnung, was erledigt/offen ist, z. B. Farben. [W]</x:v>
      </x:c>
      <x:c r="D11" s="15" t="str">
        <x:v>Keine gespeicherte Testfrage im Snapshot; Grund unbekannt. [Q]</x:v>
      </x:c>
      <x:c r="E11" s="15" t="str">
        <x:v>Feedback vorhanden. [W]</x:v>
      </x:c>
      <x:c r="F11" s="16" t="str">
        <x:v>Insgesamt gut aufgebaut; spontan nichts vermisst. [W]</x:v>
      </x:c>
      <x:c r="G11" s="12"/>
    </x:row>
    <x:row r="12" ht="65" customHeight="1">
      <x:c r="A12" s="13" t="str">
        <x:v>P09 · Frami</x:v>
      </x:c>
      <x:c r="B12" s="21" t="str">
        <x:v>Keine konkrete Aussage zur Fristsuche.</x:v>
      </x:c>
      <x:c r="C12" s="15" t="str">
        <x:v>Keine konkrete Aussage zu Eingabe oder Speichererfolg.</x:v>
      </x:c>
      <x:c r="D12" s="15" t="str">
        <x:v>Eine Testfrage gespeichert. [Q]</x:v>
      </x:c>
      <x:c r="E12" s="15" t="str">
        <x:v>Feedback vorhanden. [W]</x:v>
      </x:c>
      <x:c r="F12" s="16" t="str">
        <x:v>Brauch­te einen Moment für Menüführung/Zuordnung, fand letztlich alles. Nichts fehlt. [W]</x:v>
      </x:c>
      <x:c r="G12" s="12"/>
    </x:row>
    <x:row r="13" ht="65" customHeight="1">
      <x:c r="A13" s="13" t="str">
        <x:v>P10 · Marry</x:v>
      </x:c>
      <x:c r="B13" s="15" t="str">
        <x:v>Testfrage nennt Busfrist 25.10.2026. Datum damit schriftlich wiedergegeben; Suchweg/Zeit unbekannt. [Q]</x:v>
      </x:c>
      <x:c r="C13" s="15" t="str">
        <x:v>Keine konkrete Aussage zu Eingabe oder Speichererfolg.</x:v>
      </x:c>
      <x:c r="D13" s="15" t="str">
        <x:v>Fragen &amp; Antworten kurz gesucht, letztlich nicht schwer; Frage gespeichert. [W, Q]</x:v>
      </x:c>
      <x:c r="E13" s="15" t="str">
        <x:v>Feedback vorhanden. [W]</x:v>
      </x:c>
      <x:c r="F13" s="16" t="str">
        <x:v>Seite intuitiv; spontan nichts vermisst. [W]</x:v>
      </x:c>
      <x:c r="G13" s="12"/>
    </x:row>
    <x:row r="14" ht="65" customHeight="1">
      <x:c r="A14" s="13" t="str">
        <x:v>P11 · Tina</x:v>
      </x:c>
      <x:c r="B14" s="21" t="str">
        <x:v>Keine konkrete Aussage zur Fristsuche.</x:v>
      </x:c>
      <x:c r="C14" s="15" t="str">
        <x:v>Keine konkrete Aussage zu Eingabe oder Speichererfolg.</x:v>
      </x:c>
      <x:c r="D14" s="15" t="str">
        <x:v>FAQ nicht gleich gefunden, Testfrage gespeichert. [W, Q]</x:v>
      </x:c>
      <x:c r="E14" s="15" t="str">
        <x:v>Feedback vorhanden. [W]</x:v>
      </x:c>
      <x:c r="F14" s="16" t="str">
        <x:v>Gewöhnung an Appaufbau nötig; bislang nichts vermisst. [W]</x:v>
      </x:c>
      <x:c r="G14" s="12"/>
    </x:row>
    <x:row r="15" ht="75" customHeight="1">
      <x:c r="A15" s="13" t="str">
        <x:v>P12 · Lynnilynsen</x:v>
      </x:c>
      <x:c r="B15" s="15" t="str">
        <x:v>Keine konkrete Aussage zur Fristsuche.</x:v>
      </x:c>
      <x:c r="C15" s="15" t="str">
        <x:v>„Bei Aktualisierung der Seite waren Angaben teilweise verschwunden, teilweise nicht.“ Ob vorher gespeichert und welche Felder: unbekannt; Fehler nicht reproduziert. [W]</x:v>
      </x:c>
      <x:c r="D15" s="15" t="str">
        <x:v>Eine Testfrage gespeichert. [Q]</x:v>
      </x:c>
      <x:c r="E15" s="15" t="str">
        <x:v>Feedback vorhanden. [W]</x:v>
      </x:c>
      <x:c r="F15" s="16" t="str">
        <x:v>Sehr positives Gesamturteil; konkrete fehlende Funktion nicht genannt. [W]</x:v>
      </x:c>
      <x:c r="G15" s="12"/>
    </x:row>
    <x:row r="16" ht="65" customHeight="1">
      <x:c r="A16" s="13" t="str">
        <x:v>P13 · Kaiko</x:v>
      </x:c>
      <x:c r="B16" s="21" t="str">
        <x:v>Keine konkrete Aussage zur Fristsuche.</x:v>
      </x:c>
      <x:c r="C16" s="15" t="str">
        <x:v>Keine konkrete Aussage zu Eingabe oder Speichererfolg.</x:v>
      </x:c>
      <x:c r="D16" s="15" t="str">
        <x:v>Eine Testfrage gespeichert. [Q]</x:v>
      </x:c>
      <x:c r="E16" s="15" t="str">
        <x:v>Feedback vorhanden. [W]</x:v>
      </x:c>
      <x:c r="F16" s="16" t="str">
        <x:v>„Nichts“ unklar, „Nein“ fehlt. [W]</x:v>
      </x:c>
      <x:c r="G16" s="12"/>
    </x:row>
    <x:row r="17" ht="65" customHeight="1">
      <x:c r="A17" s="13" t="str">
        <x:v>P14 · Sina</x:v>
      </x:c>
      <x:c r="B17" s="15" t="str">
        <x:v>Keine konkrete Aussage zur Fristsuche.</x:v>
      </x:c>
      <x:c r="C17" s="15" t="str">
        <x:v>Keine konkrete Aussage zu Eingabe oder Speichererfolg.</x:v>
      </x:c>
      <x:c r="D17" s="15" t="str">
        <x:v>Keine gespeicherte Testfrage im Snapshot; Grund unbekannt. [Q]</x:v>
      </x:c>
      <x:c r="E17" s="15" t="str">
        <x:v>Bewertung 4/5; Freitextfelder leer. [W]</x:v>
      </x:c>
      <x:c r="F17" s="16" t="str">
        <x:v>Keine weiteren Beobachtungen.</x:v>
      </x:c>
      <x:c r="G17" s="12"/>
    </x:row>
    <x:row r="18" ht="75" customHeight="1">
      <x:c r="A18" s="13" t="str">
        <x:v>P15 · TheMazeBoy</x:v>
      </x:c>
      <x:c r="B18" s="21" t="str">
        <x:v>Keine konkrete Aussage zur Fristsuche.</x:v>
      </x:c>
      <x:c r="C18" s="15" t="str">
        <x:v>Keine konkrete Aussage zu Eingabe oder Speichererfolg.</x:v>
      </x:c>
      <x:c r="D18" s="15" t="str">
        <x:v>Eine Testfrage gespeichert. [Q]</x:v>
      </x:c>
      <x:c r="E18" s="15" t="str">
        <x:v>Seitlich scrollen zum Testfeedback „etwas unintuitiv“. [W]</x:v>
      </x:c>
      <x:c r="F18" s="16" t="str">
        <x:v>1/5 widerspricht „Eigentlich alles klar“. Unverändert belassen, Bedeutung nachfragen. Liebe/Umarmungen/Meme als freier Wunsch, kein belegtes Usability-Problem. [W]</x:v>
      </x:c>
      <x:c r="G18" s="15"/>
    </x:row>
    <x:row r="19" ht="65" customHeight="1">
      <x:c r="A19" s="13" t="str">
        <x:v>P16 · Toffee</x:v>
      </x:c>
      <x:c r="B19" s="15" t="str">
        <x:v>Keine konkrete Aussage zur Fristsuche.</x:v>
      </x:c>
      <x:c r="C19" s="15" t="str">
        <x:v>Keine konkrete Aussage zu Eingabe oder Speichererfolg.</x:v>
      </x:c>
      <x:c r="D19" s="15" t="str">
        <x:v>Eine Frage zu gemeinsamen Aktivitäten gespeichert. [Q]</x:v>
      </x:c>
      <x:c r="E19" s="15" t="str">
        <x:v>Feedback vorhanden. [W]</x:v>
      </x:c>
      <x:c r="F19" s="16" t="str">
        <x:v>„Nö“ unklar; wünscht aktuelle Bierpreise. Inhaltswunsch, keine nachgewiesene Bedienhürde. [W]</x:v>
      </x:c>
      <x:c r="G19" s="15"/>
    </x:row>
    <x:row r="20" ht="65" customHeight="1">
      <x:c r="A20" s="13" t="str">
        <x:v>P17 · Alexandra</x:v>
      </x:c>
      <x:c r="B20" s="21" t="str">
        <x:v>Nicht dokumentiert.</x:v>
      </x:c>
      <x:c r="C20" s="15" t="str">
        <x:v>Nicht dokumentiert.</x:v>
      </x:c>
      <x:c r="D20" s="15" t="str">
        <x:v>Eine Testfrage gespeichert. [Q]</x:v>
      </x:c>
      <x:c r="E20" s="15" t="str">
        <x:v>Kein ausgefüllter Feedbackbogen.</x:v>
      </x:c>
      <x:c r="F20" s="16" t="str">
        <x:v>Registrierte Sitzung, aber kein auswertbares Feedback; keine Probleme oder Erfolge hinzuerfinden.</x:v>
      </x:c>
      <x:c r="G20" s="15"/>
    </x:row>
    <x:row r="21" ht="65" customHeight="1">
      <x:c r="A21" s="13" t="str">
        <x:v>P18 · Angie</x:v>
      </x:c>
      <x:c r="B21" s="15" t="str">
        <x:v>Nicht dokumentiert.</x:v>
      </x:c>
      <x:c r="C21" s="15" t="str">
        <x:v>Nicht dokumentiert.</x:v>
      </x:c>
      <x:c r="D21" s="15" t="str">
        <x:v>Nicht dokumentiert.</x:v>
      </x:c>
      <x:c r="E21" s="15" t="str">
        <x:v>Kein ausgefüllter Feedbackbogen.</x:v>
      </x:c>
      <x:c r="F21" s="16" t="str">
        <x:v>Registrierte Sitzung, aber kein auswertbares Feedback; keine Probleme oder Erfolge hinzuerfinden.</x:v>
      </x:c>
      <x:c r="G21" s="15"/>
    </x:row>
    <x:row r="22" ht="65" customHeight="1">
      <x:c r="A22" s="13" t="str">
        <x:v>P19 · Mona</x:v>
      </x:c>
      <x:c r="B22" s="21" t="str">
        <x:v>Nicht dokumentiert.</x:v>
      </x:c>
      <x:c r="C22" s="15" t="str">
        <x:v>Nicht dokumentiert.</x:v>
      </x:c>
      <x:c r="D22" s="15" t="str">
        <x:v>Nicht dokumentiert.</x:v>
      </x:c>
      <x:c r="E22" s="15" t="str">
        <x:v>Kein ausgefüllter Feedbackbogen.</x:v>
      </x:c>
      <x:c r="F22" s="16" t="str">
        <x:v>Registrierte Sitzung, aber kein auswertbares Feedback; keine Probleme oder Erfolge hinzuerfinden.</x:v>
      </x:c>
      <x:c r="G22" s="15"/>
    </x:row>
    <x:row r="23" ht="65" customHeight="1">
      <x:c r="A23" s="13" t="str">
        <x:v>P20 · Test</x:v>
      </x:c>
      <x:c r="B23" s="15" t="str">
        <x:v>Nicht dokumentiert.</x:v>
      </x:c>
      <x:c r="C23" s="15" t="str">
        <x:v>Nicht dokumentiert.</x:v>
      </x:c>
      <x:c r="D23" s="15" t="str">
        <x:v>Nicht dokumentiert.</x:v>
      </x:c>
      <x:c r="E23" s="15" t="str">
        <x:v>Kein ausgefüllter Feedbackbogen.</x:v>
      </x:c>
      <x:c r="F23" s="16" t="str">
        <x:v>Registrierte Sitzung, aber kein auswertbares Feedback; keine Probleme oder Erfolge hinzuerfinden.</x:v>
      </x:c>
      <x:c r="G23" s="15"/>
    </x:row>
    <x:row r="24" ht="65" customHeight="1">
      <x:c r="A24" s="13" t="str">
        <x:v>P21 · Test Ida</x:v>
      </x:c>
      <x:c r="B24" s="21" t="str">
        <x:v>Nicht dokumentiert.</x:v>
      </x:c>
      <x:c r="C24" s="15" t="str">
        <x:v>Nicht dokumentiert.</x:v>
      </x:c>
      <x:c r="D24" s="15" t="str">
        <x:v>Nicht dokumentiert.</x:v>
      </x:c>
      <x:c r="E24" s="15" t="str">
        <x:v>Kein ausgefüllter Feedbackbogen.</x:v>
      </x:c>
      <x:c r="F24" s="16" t="str">
        <x:v>Registrierte Sitzung, aber kein auswertbares Feedback; keine Probleme oder Erfolge hinzuerfinden.</x:v>
      </x:c>
      <x:c r="G24" s="15"/>
    </x:row>
    <x:row r="25" ht="65" customHeight="1">
      <x:c r="A25" s="13" t="str">
        <x:v>P22 · Daniel</x:v>
      </x:c>
      <x:c r="B25" s="15" t="str">
        <x:v>Nicht dokumentiert.</x:v>
      </x:c>
      <x:c r="C25" s="15" t="str">
        <x:v>Nicht dokumentiert.</x:v>
      </x:c>
      <x:c r="D25" s="15" t="str">
        <x:v>Nicht dokumentiert.</x:v>
      </x:c>
      <x:c r="E25" s="15" t="str">
        <x:v>Kein ausgefüllter Feedbackbogen.</x:v>
      </x:c>
      <x:c r="F25" s="16" t="str">
        <x:v>Registrierte Sitzung, aber kein auswertbares Feedback; keine Probleme oder Erfolge hinzuerfinden.</x:v>
      </x:c>
      <x:c r="G25" s="15"/>
    </x:row>
    <x:row r="26" ht="130" customHeight="1">
      <x:c r="A26" s="17" t="str">
        <x:v>Zusammenfassung nach Aufgabe</x:v>
      </x:c>
      <x:c r="B26" s="15" t="str">
        <x:v>Fristerfolg nicht systematisch erhoben. Marry nennt das Datum in einer Testfrage; keine belastbare Erfolgsquote.</x:v>
      </x:c>
      <x:c r="C26" s="15" t="str">
        <x:v>Verlust/Unsicherheit beim Speichern und Partnerwahl sind zentrale Hürden. Gespeicherte Testwerte sind keine echten Buchungen.</x:v>
      </x:c>
      <x:c r="D26" s="15" t="str">
        <x:v>11 gespeicherte Testfragen im Snapshot. Nicht vorhandene Frage bedeutet nicht automatisch gescheiterte Aufgabe.</x:v>
      </x:c>
      <x:c r="E26" s="15" t="str">
        <x:v>13 Feedbackbögen, alle Gerät Handy. Zusätzlich WA/Screenshots; keine doppelte Personenzählung.</x:v>
      </x:c>
      <x:c r="F26" s="15" t="str">
        <x:v>16 Personen mit auswertbarer Rückmeldung; weitere 6 Sitzungen ohne Feedback. Positive Rückmeldungen und Probleme können gleichzeitig vorliegen.</x:v>
      </x:c>
      <x:c r="G26" s="15"/>
    </x:row>
    <x:row r="27">
      <x:c r="A27" s="17"/>
      <x:c r="B27" s="15"/>
      <x:c r="C27" s="15"/>
      <x:c r="D27" s="15"/>
      <x:c r="E27" s="15"/>
      <x:c r="F27" s="15"/>
      <x:c r="G27" s="15"/>
    </x:row>
    <x:row r="28" ht="30" customHeight="1">
      <x:c r="A28" s="27" t="str">
        <x:v>2. Ergebnisse / Usability-Probleme</x:v>
      </x:c>
      <x:c r="B28" s="27"/>
      <x:c r="C28" s="27"/>
      <x:c r="D28" s="27"/>
      <x:c r="E28" s="27"/>
      <x:c r="F28" s="28"/>
      <x:c r="G28" s="12"/>
    </x:row>
    <x:row r="29" ht="40" customHeight="1">
      <x:c r="A29" s="24" t="str">
        <x:v>Ergebnis #</x:v>
      </x:c>
      <x:c r="B29" s="24" t="str">
        <x:v>Aussagekräftiger Titel</x:v>
      </x:c>
      <x:c r="C29" s="24" t="str">
        <x:v>Beschreibung</x:v>
      </x:c>
      <x:c r="D29" s="24" t="str">
        <x:v>Schweregrad (vorläufig)</x:v>
      </x:c>
      <x:c r="E29" s="24" t="str">
        <x:v>Aufgetreten in Aufgabe(n)</x:v>
      </x:c>
      <x:c r="F29" s="24" t="str">
        <x:v>Teilnehmer-IDs</x:v>
      </x:c>
      <x:c r="G29" s="24" t="str">
        <x:v>Anzahl Teilnehmer</x:v>
      </x:c>
    </x:row>
    <x:row r="30" ht="105" customHeight="1">
      <x:c r="A30" s="33" t="n">
        <x:v>1</x:v>
      </x:c>
      <x:c r="B30" s="34" t="str">
        <x:v>Frageformular wird nicht gefunden</x:v>
      </x:c>
      <x:c r="C30" s="34" t="str">
        <x:v>Jules konnte Aufgabe 3 nicht abschließen. Ella, Anna, Tina und Marry suchten ebenfalls; Ella, Tina und Marry schickten später nachweislich eine Frage. Schweregrad wegen des berichteten Aufgabenabbruchs bei Jules; nicht für alle fünf gleich schwer.</x:v>
      </x:c>
      <x:c r="D30" s="34" t="str">
        <x:v>schweres Usability-Problem</x:v>
      </x:c>
      <x:c r="E30" s="34" t="str">
        <x:v>3</x:v>
      </x:c>
      <x:c r="F30" s="34" t="str">
        <x:v>P02, P01, P05, P11, P10</x:v>
      </x:c>
      <x:c r="G30" s="34" t="n">
        <x:f>IF(F30="",0,LEN(F30)-LEN(SUBSTITUTE(F30,",",""))+1)</x:f>
        <x:v>5</x:v>
      </x:c>
    </x:row>
    <x:row r="31" ht="75" customHeight="1">
      <x:c r="A31" s="35" t="n">
        <x:v>2</x:v>
      </x:c>
      <x:c r="B31" s="36" t="str">
        <x:v>Seitliches Scrollen der mobilen Navigation ist nicht erkennbar</x:v>
      </x:c>
      <x:c r="C31" s="36" t="str">
        <x:v>Martin und TheMazeBoy fanden den Reiter Test-Feedback erst nach seitlichem Scrollen. Beide sendeten Feedback. Mobile Navigationshürde; nicht allein auf den Test-Reiter beschränkt nachgewiesen.</x:v>
      </x:c>
      <x:c r="D31" s="36" t="str">
        <x:v>mittleres Usability-Problem</x:v>
      </x:c>
      <x:c r="E31" s="36" t="str">
        <x:v>4</x:v>
      </x:c>
      <x:c r="F31" s="36" t="str">
        <x:v>P03, P15</x:v>
      </x:c>
      <x:c r="G31" s="36" t="n">
        <x:f>IF(F31="",0,LEN(F31)-LEN(SUBSTITUTE(F31,",",""))+1)</x:f>
        <x:v>2</x:v>
      </x:c>
    </x:row>
    <x:row r="32" ht="105" customHeight="1">
      <x:c r="A32" s="33" t="n">
        <x:v>3</x:v>
      </x:c>
      <x:c r="B32" s="34" t="str">
        <x:v>Teilangaben gehen beim Speichern oder Neuladen verloren</x:v>
      </x:c>
      <x:c r="C32" s="34" t="str">
        <x:v>Ella beschrieb den Verlust ungespeicherter Anreise nach dem Speichern der Unterkunft. Lynnilynsen meldet teilweise verschwundene Angaben nach Aktualisierung. Gleiche Wirkung, Ursachen nicht gleichgesetzt. Technisch nicht reproduziert; Schweregrad vorläufig.</x:v>
      </x:c>
      <x:c r="D32" s="34" t="str">
        <x:v>schweres Usability-Problem</x:v>
      </x:c>
      <x:c r="E32" s="34" t="str">
        <x:v>2</x:v>
      </x:c>
      <x:c r="F32" s="34" t="str">
        <x:v>P01, P12</x:v>
      </x:c>
      <x:c r="G32" s="34" t="n">
        <x:f>IF(F32="",0,LEN(F32)-LEN(SUBSTITUTE(F32,",",""))+1)</x:f>
        <x:v>2</x:v>
      </x:c>
    </x:row>
    <x:row r="33" ht="75" customHeight="1">
      <x:c r="A33" s="35" t="n">
        <x:v>4</x:v>
      </x:c>
      <x:c r="B33" s="36" t="str">
        <x:v>Gespeichert und noch offen sind nicht klar unterscheidbar</x:v>
      </x:c>
      <x:c r="C33" s="36" t="str">
        <x:v>Mäc berichtet fehlende Anreisebestätigung und unveränderte Speicherbeschriftung; Steven vermisst einen Erledigt-/Offen-Status. Das erzeugt Unsicherheit und mögliche Mehrfacheingaben.</x:v>
      </x:c>
      <x:c r="D33" s="36" t="str">
        <x:v>mittleres Usability-Problem</x:v>
      </x:c>
      <x:c r="E33" s="36" t="str">
        <x:v>2</x:v>
      </x:c>
      <x:c r="F33" s="36" t="str">
        <x:v>P07, P08</x:v>
      </x:c>
      <x:c r="G33" s="36" t="n">
        <x:f>IF(F33="",0,LEN(F33)-LEN(SUBSTITUTE(F33,",",""))+1)</x:f>
        <x:v>2</x:v>
      </x:c>
    </x:row>
    <x:row r="34" ht="90" customHeight="1">
      <x:c r="A34" s="33" t="n">
        <x:v>5</x:v>
      </x:c>
      <x:c r="B34" s="34" t="str">
        <x:v>Ein erwarteter Formularabschluss fehlt</x:v>
      </x:c>
      <x:c r="C34" s="34" t="str">
        <x:v>Mäc sucht am Ende einen gemeinsamen Abschicken-Button. Teilformulare mit einzelnen Speicheraktionen entsprechen nicht seiner Erwartung. Screenshot zeigt Zimmeraktionen, aber keinen Gesamtabschluss.</x:v>
      </x:c>
      <x:c r="D34" s="34" t="str">
        <x:v>mittleres Usability-Problem</x:v>
      </x:c>
      <x:c r="E34" s="34" t="str">
        <x:v>2</x:v>
      </x:c>
      <x:c r="F34" s="34" t="str">
        <x:v>P07</x:v>
      </x:c>
      <x:c r="G34" s="34" t="n">
        <x:f>IF(F34="",0,LEN(F34)-LEN(SUBSTITUTE(F34,",",""))+1)</x:f>
        <x:v>1</x:v>
      </x:c>
    </x:row>
    <x:row r="35" ht="90" customHeight="1">
      <x:c r="A35" s="35" t="n">
        <x:v>6</x:v>
      </x:c>
      <x:c r="B35" s="36" t="str">
        <x:v>Zimmerpartner-Auswahl lässt sich schwer verlassen</x:v>
      </x:c>
      <x:c r="C35" s="36" t="str">
        <x:v>Ella konnte Personen wählen, kam aber schlecht ins Menü zurück. Fahrer-Einzelauswahl funktionierte für sie besser. Unterschied zwischen Mehrfach- und Einfachauswahl beachten; Gerät/Browser für Reproduktion nachfragen.</x:v>
      </x:c>
      <x:c r="D35" s="36" t="str">
        <x:v>mittleres Usability-Problem</x:v>
      </x:c>
      <x:c r="E35" s="36" t="str">
        <x:v>2</x:v>
      </x:c>
      <x:c r="F35" s="36" t="str">
        <x:v>P01</x:v>
      </x:c>
      <x:c r="G35" s="36" t="n">
        <x:f>IF(F35="",0,LEN(F35)-LEN(SUBSTITUTE(F35,",",""))+1)</x:f>
        <x:v>1</x:v>
      </x:c>
    </x:row>
    <x:row r="36" ht="90" customHeight="1">
      <x:c r="A36" s="33" t="n">
        <x:v>7</x:v>
      </x:c>
      <x:c r="B36" s="34" t="str">
        <x:v>Übersicht enthält zu viel oder doppelte Information</x:v>
      </x:c>
      <x:c r="C36" s="34" t="str">
        <x:v>Jules empfindet roten Planungskasten als doppelt und Übersicht als zu voll. Martin kritisiert Einleitung/Werbetext. Anja wünscht einfachere Übersicht. Seit 18.10.2026 nur zwei Neuigkeiten sichtbar; Wirkung noch nicht nachgetestet.</x:v>
      </x:c>
      <x:c r="D36" s="34" t="str">
        <x:v>mittleres Usability-Problem</x:v>
      </x:c>
      <x:c r="E36" s="34" t="str">
        <x:v>aufgabenübergreifend</x:v>
      </x:c>
      <x:c r="F36" s="34" t="str">
        <x:v>P02, P03, P06</x:v>
      </x:c>
      <x:c r="G36" s="34" t="n">
        <x:f>IF(F36="",0,LEN(F36)-LEN(SUBSTITUTE(F36,",",""))+1)</x:f>
        <x:v>3</x:v>
      </x:c>
    </x:row>
    <x:row r="37" ht="75" customHeight="1">
      <x:c r="A37" s="35" t="n">
        <x:v>8</x:v>
      </x:c>
      <x:c r="B37" s="36" t="str">
        <x:v>Einstieg und Zuordnung der Bereiche brauchen Orientierung</x:v>
      </x:c>
      <x:c r="C37" s="36" t="str">
        <x:v>Frami und Tina mussten sich an Menü/Appaufbau gewöhnen. Anja wusste anfangs nicht, wo auszufüllen und wo nur zu lesen ist. Nach Einstieg gelang Bedienung laut Selbstbericht besser.</x:v>
      </x:c>
      <x:c r="D37" s="36" t="str">
        <x:v>mittleres Usability-Problem</x:v>
      </x:c>
      <x:c r="E37" s="36" t="str">
        <x:v>aufgabenübergreifend</x:v>
      </x:c>
      <x:c r="F37" s="36" t="str">
        <x:v>P09, P11, P06</x:v>
      </x:c>
      <x:c r="G37" s="36" t="n">
        <x:f>IF(F37="",0,LEN(F37)-LEN(SUBSTITUTE(F37,",",""))+1)</x:f>
        <x:v>3</x:v>
      </x:c>
    </x:row>
    <x:row r="38" ht="90" customHeight="1">
      <x:c r="A38" s="33" t="n">
        <x:v>9</x:v>
      </x:c>
      <x:c r="B38" s="34" t="str">
        <x:v>Nachrichten werden nicht eindeutig verstanden</x:v>
      </x:c>
      <x:c r="C38" s="34" t="str">
        <x:v>Martin fragt ausdrücklich nach der Bedeutung. Anja erwartet freigeschalteten Chat nach Zimmerzuordnung. Nachrichten sind tatsächlich Benachrichtigungen; die Chat-Erwartung ist keine bestätigte Funktion.</x:v>
      </x:c>
      <x:c r="D38" s="34" t="str">
        <x:v>mittleres Usability-Problem</x:v>
      </x:c>
      <x:c r="E38" s="34" t="str">
        <x:v>aufgabenübergreifend</x:v>
      </x:c>
      <x:c r="F38" s="34" t="str">
        <x:v>P03, P06</x:v>
      </x:c>
      <x:c r="G38" s="34" t="n">
        <x:f>IF(F38="",0,LEN(F38)-LEN(SUBSTITUTE(F38,",",""))+1)</x:f>
        <x:v>2</x:v>
      </x:c>
    </x:row>
    <x:row r="39" ht="90" customHeight="1">
      <x:c r="A39" s="35" t="n">
        <x:v>10</x:v>
      </x:c>
      <x:c r="B39" s="36" t="str">
        <x:v>Herkunft der Hotelangebote ist nicht erkennbar genug</x:v>
      </x:c>
      <x:c r="C39" s="36" t="str">
        <x:v>Martin kannte Babelfish-Kontingent nicht und fragt nach Echtheit/Quelle des PDFs. Das Original nennt Festival 2027. Belegt ist ein Informations-/Vertrauensbedarf, kein falsches Angebot und keine aktuelle Verfügbarkeit.</x:v>
      </x:c>
      <x:c r="D39" s="36" t="str">
        <x:v>mittleres Usability-Problem</x:v>
      </x:c>
      <x:c r="E39" s="36" t="str">
        <x:v>aufgabenübergreifend</x:v>
      </x:c>
      <x:c r="F39" s="36" t="str">
        <x:v>P03</x:v>
      </x:c>
      <x:c r="G39" s="36" t="n">
        <x:f>IF(F39="",0,LEN(F39)-LEN(SUBSTITUTE(F39,",",""))+1)</x:f>
        <x:v>1</x:v>
      </x:c>
    </x:row>
    <x:row r="40" ht="75" customHeight="1">
      <x:c r="A40" s="33" t="n">
        <x:v>11</x:v>
      </x:c>
      <x:c r="B40" s="34" t="str">
        <x:v>Kurzlink-Zwischenseite irritiert vor Testbeginn</x:v>
      </x:c>
      <x:c r="C40" s="34" t="str">
        <x:v>Ella nennt den Start auf der anderen Seite irritierend; Daniel musste den Weiter-Klick erklären. Betrifft TinyURL/Testrekrutierung, nicht die eigentliche PKC-Seite.</x:v>
      </x:c>
      <x:c r="D40" s="34" t="str">
        <x:v>mittleres Usability-Problem</x:v>
      </x:c>
      <x:c r="E40" s="34" t="str">
        <x:v>vor Testbeginn</x:v>
      </x:c>
      <x:c r="F40" s="34" t="str">
        <x:v>P01</x:v>
      </x:c>
      <x:c r="G40" s="34" t="n">
        <x:f>IF(F40="",0,LEN(F40)-LEN(SUBSTITUTE(F40,",",""))+1)</x:f>
        <x:v>1</x:v>
      </x:c>
    </x:row>
    <x:row r="41" ht="90" customHeight="1">
      <x:c r="A41" s="35" t="n">
        <x:v>12</x:v>
      </x:c>
      <x:c r="B41" s="36" t="str">
        <x:v>Planungsformular wirkt zu umfangreich</x:v>
      </x:c>
      <x:c r="C41" s="36" t="str">
        <x:v>Mäc beschreibt Umfang/Perfektionsanspruch als abschreckend. Tatsächlicher Abbruch anderer ist nicht belegt. Als Vereinfachungsbedarf dokumentiert, noch keine Entscheidung, welche Angaben entfallen.</x:v>
      </x:c>
      <x:c r="D41" s="36" t="str">
        <x:v>mittleres Usability-Problem</x:v>
      </x:c>
      <x:c r="E41" s="36" t="str">
        <x:v>2</x:v>
      </x:c>
      <x:c r="F41" s="36" t="str">
        <x:v>P07</x:v>
      </x:c>
      <x:c r="G41" s="36" t="n">
        <x:f>IF(F41="",0,LEN(F41)-LEN(SUBSTITUTE(F41,",",""))+1)</x:f>
        <x:v>1</x:v>
      </x:c>
    </x:row>
    <x:row r="42" ht="90" customHeight="1">
      <x:c r="A42" s="33" t="n">
        <x:v>13</x:v>
      </x:c>
      <x:c r="B42" s="34" t="str">
        <x:v>Feedback ist für Orga zunächst nicht sichtbar</x:v>
      </x:c>
      <x:c r="C42" s="34" t="str">
        <x:v>Daniel sah Ellas Feedback zunächst nicht; später war es sichtbar, laut Ella ohne erneutes Schreiben. Netzwerk, Aktualisierung, Zeitpunkt oder Cache nicht geklärt. Kein nachgewiesener Datenverlust.</x:v>
      </x:c>
      <x:c r="D42" s="34" t="str">
        <x:v>mittleres Usability-Problem</x:v>
      </x:c>
      <x:c r="E42" s="34" t="str">
        <x:v>4 / Orga-Auswertung</x:v>
      </x:c>
      <x:c r="F42" s="34" t="str">
        <x:v>P01</x:v>
      </x:c>
      <x:c r="G42" s="34" t="n">
        <x:f>IF(F42="",0,LEN(F42)-LEN(SUBSTITUTE(F42,",",""))+1)</x:f>
        <x:v>1</x:v>
      </x:c>
    </x:row>
    <x:row r="43" ht="75" customHeight="1">
      <x:c r="A43" s="35" t="n">
        <x:v>14</x:v>
      </x:c>
      <x:c r="B43" s="36" t="str">
        <x:v>Test-Feedback muss zusätzlich erklärt werden</x:v>
      </x:c>
      <x:c r="C43" s="36" t="str">
        <x:v>Kathy/Katzelbert fragt nach dem Ort für Feedback. Nach Hinweis erfolgt positive Rückmeldung per WA. Ob gleiche Ursache wie seitliches Scrollen, bleibt offen. Betrifft Testablauf.</x:v>
      </x:c>
      <x:c r="D43" s="36" t="str">
        <x:v>mittleres Usability-Problem</x:v>
      </x:c>
      <x:c r="E43" s="36" t="str">
        <x:v>4</x:v>
      </x:c>
      <x:c r="F43" s="36" t="str">
        <x:v>P04</x:v>
      </x:c>
      <x:c r="G43" s="36" t="n">
        <x:f>IF(F43="",0,LEN(F43)-LEN(SUBSTITUTE(F43,",",""))+1)</x:f>
        <x:v>1</x:v>
      </x:c>
    </x:row>
    <x:row r="44">
      <x:c r="A44" s="17"/>
      <x:c r="B44" s="15"/>
      <x:c r="C44" s="15"/>
      <x:c r="D44" s="15"/>
      <x:c r="E44" s="15"/>
      <x:c r="F44" s="15"/>
      <x:c r="G44" s="15"/>
    </x:row>
    <x:row r="45" ht="34" customHeight="1">
      <x:c r="A45" s="17" t="str">
        <x:v>Einstufung nach Kurstemplate; Häufigkeit = eindeutig zugeordnete Personen je Problem, keine Prozentwerte. Ursachen und Schweregrade sind vorläufig.</x:v>
      </x:c>
      <x:c r="B45" s="15"/>
      <x:c r="C45" s="15"/>
      <x:c r="D45" s="15"/>
      <x:c r="E45" s="15"/>
      <x:c r="F45" s="15"/>
      <x:c r="G45" s="15"/>
    </x:row>
    <x:row r="46" ht="100" customHeight="1">
      <x:c r="A46" s="12"/>
      <x:c r="B46" s="12" t="s">
        <x:v>1</x:v>
      </x:c>
      <x:c r="C46" s="12" t="s">
        <x:v>2</x:v>
      </x:c>
      <x:c r="D46" s="12"/>
      <x:c r="E46" s="12"/>
      <x:c r="F46" s="12"/>
      <x:c r="G46" s="12"/>
    </x:row>
    <x:row r="47" ht="100" customHeight="1">
      <x:c r="A47" s="12"/>
      <x:c r="B47" s="19" t="s">
        <x:v>3</x:v>
      </x:c>
      <x:c r="C47" s="12" t="s">
        <x:v>4</x:v>
      </x:c>
      <x:c r="D47" s="12"/>
      <x:c r="E47" s="12"/>
      <x:c r="F47" s="12"/>
      <x:c r="G47" s="12"/>
    </x:row>
    <x:row r="48" ht="100" customHeight="1">
      <x:c r="A48" s="12"/>
      <x:c r="B48" s="19" t="s">
        <x:v>5</x:v>
      </x:c>
      <x:c r="C48" s="12" t="s">
        <x:v>6</x:v>
      </x:c>
      <x:c r="D48" s="12"/>
      <x:c r="E48" s="12"/>
      <x:c r="F48" s="12"/>
      <x:c r="G48" s="12"/>
    </x:row>
    <x:row r="49" ht="100" customHeight="1">
      <x:c r="A49" s="12"/>
      <x:c r="B49" s="19" t="s">
        <x:v>7</x:v>
      </x:c>
      <x:c r="C49" s="12" t="s">
        <x:v>8</x:v>
      </x:c>
      <x:c r="D49" s="12"/>
      <x:c r="E49" s="12"/>
      <x:c r="F49" s="12"/>
      <x:c r="G49" s="12"/>
    </x:row>
    <x:row r="50" ht="100" customHeight="1">
      <x:c r="A50" s="12"/>
      <x:c r="B50" s="19" t="s">
        <x:v>9</x:v>
      </x:c>
      <x:c r="C50" s="12" t="s">
        <x:v>10</x:v>
      </x:c>
      <x:c r="D50" s="12"/>
      <x:c r="E50" s="12"/>
      <x:c r="F50" s="12"/>
      <x:c r="G50" s="12"/>
    </x:row>
    <x:row r="51">
      <x:c r="A51" s="12"/>
      <x:c r="B51" s="12"/>
      <x:c r="C51" s="12"/>
      <x:c r="D51" s="12"/>
      <x:c r="E51" s="12"/>
      <x:c r="F51" s="12"/>
      <x:c r="G51" s="12"/>
    </x:row>
    <x:row r="52">
      <x:c r="A52" s="12"/>
      <x:c r="B52" s="12"/>
      <x:c r="C52" s="12"/>
      <x:c r="D52" s="12"/>
      <x:c r="E52" s="12"/>
      <x:c r="F52" s="12"/>
      <x:c r="G52" s="12"/>
    </x:row>
    <x:row r="53">
      <x:c r="A53" s="25" t="str">
        <x:v>3. Einordnung und nächste Auswertungsschritte</x:v>
      </x:c>
      <x:c r="B53" s="25"/>
      <x:c r="C53" s="25"/>
      <x:c r="D53" s="25"/>
      <x:c r="E53" s="25"/>
      <x:c r="F53" s="25"/>
      <x:c r="G53" s="12"/>
    </x:row>
    <x:row r="54" ht="65" customHeight="1">
      <x:c r="A54" s="12" t="str">
        <x:v>Positives beibehalten</x:v>
      </x:c>
      <x:c r="B54" s="12" t="str">
        <x:v>Kathy: einfach/intuitiv, Reiter und Reiseoptionen verständlich, „Wer ist wo“ nützlich. Ella: wichtige Infos vorhanden, intuitiv. Marry: intuitiv. Anja/Lynnilynsen: sehr positives Gesamturteil. Kein Widerspruch zu konkreten Hürden.</x:v>
      </x:c>
      <x:c r="C54" s="12"/>
      <x:c r="D54" s="12"/>
      <x:c r="E54" s="12"/>
      <x:c r="F54" s="12"/>
      <x:c r="G54" s="12"/>
    </x:row>
    <x:row r="55" ht="65" customHeight="1">
      <x:c r="A55" s="12" t="str">
        <x:v>Anforderungen noch offen</x:v>
      </x:c>
      <x:c r="B55" s="12" t="str">
        <x:v>Ella diskutiert Zimmerpartner vs. Hotelübersicht/freie Plätze und stimmt nach Erklärung dem Beibehalten zu. Kein Mehrheitsentscheid oder Auftrag zum Entfernen. Bierpreise (Toffee), Meme/Umarmung (TheMazeBoy) als Wünsche getrennt von Problemen behandeln.</x:v>
      </x:c>
      <x:c r="C55" s="12"/>
      <x:c r="D55" s="12"/>
      <x:c r="E55" s="12"/>
      <x:c r="F55" s="12"/>
      <x:c r="G55" s="12"/>
    </x:row>
    <x:row r="56" ht="65" customHeight="1">
      <x:c r="A56" s="12" t="str">
        <x:v>Studiendesign</x:v>
      </x:c>
      <x:c r="B56" s="12" t="str">
        <x:v>Unmoderierter Gelegenheits-/Guerilla-Test über WhatsApp. Selbstberichte, Sprachnachricht-Transkripte, Screenshots und gespeicherte Einträge; keine durchgängige Beobachtung, Zeiten, Klickpfade oder standardisierte Task-Erfolgsdaten.</x:v>
      </x:c>
      <x:c r="C56" s="12"/>
      <x:c r="D56" s="12"/>
      <x:c r="E56" s="12"/>
      <x:c r="F56" s="12"/>
      <x:c r="G56" s="12"/>
    </x:row>
    <x:row r="57" ht="65" customHeight="1">
      <x:c r="A57" s="12" t="str">
        <x:v>Versionen</x:v>
      </x:c>
      <x:c r="B57" s="12" t="str">
        <x:v>Feedback 17.–18.10.2026. Am 18.10.2026 um ca. 13:21 MESZ wurde Übersicht auf zwei Neuigkeiten begrenzt. Anja testete danach, Jules/Martin davor. Andere Inhalte wurden für diese Auswertung nicht geändert.</x:v>
      </x:c>
      <x:c r="C57" s="12"/>
      <x:c r="D57" s="12"/>
      <x:c r="E57" s="12"/>
      <x:c r="F57" s="12"/>
      <x:c r="G57" s="12"/>
    </x:row>
    <x:row r="58" ht="65" customHeight="1">
      <x:c r="A58" s="12" t="str">
        <x:v>Namen</x:v>
      </x:c>
      <x:c r="B58" s="12" t="str">
        <x:v>22 registrierte Gast-Sitzungen. Namen sind Selbstauskünfte, keine verifizierten Identitäten. 13 Websitebögen plus WA/Screenshots für 3 weitere Personen ergeben 16 Rückmeldende. Kathy-Zuordnung über mitgelieferte Überschrift.</x:v>
      </x:c>
      <x:c r="C58" s="12"/>
      <x:c r="D58" s="12"/>
      <x:c r="E58" s="12"/>
      <x:c r="F58" s="12"/>
      <x:c r="G58" s="12"/>
    </x:row>
    <x:row r="59" ht="65" customHeight="1">
      <x:c r="A59" s="12" t="str">
        <x:v>Bewertungsskala</x:v>
      </x:c>
      <x:c r="B59" s="12" t="str">
        <x:v>Einzelfrage 1 = sehr schwierig bis 5 = sehr leicht. TheMazeBoy: 1 bei positivem Freitext, daher nachfragen; nicht eigenmächtig korrigieren oder aus Kennzahl entfernen. Keine UEQ-S-Auswertung möglich.</x:v>
      </x:c>
      <x:c r="C59" s="12"/>
      <x:c r="D59" s="12"/>
      <x:c r="E59" s="12"/>
      <x:c r="F59" s="12"/>
      <x:c r="G59" s="12"/>
    </x:row>
    <x:row r="60" ht="65" customHeight="1">
      <x:c r="A60" s="12" t="str">
        <x:v>Umsetzung</x:v>
      </x:c>
      <x:c r="B60" s="12" t="str">
        <x:v>Noch keine Websiteänderungen aus dieser Auswertung. Erst Befunde gemeinsam bewerten, offene Fragen klären und ausgewählte Varianten auf Handy sowie PC nachtesten.</x:v>
      </x:c>
      <x:c r="C60" s="12"/>
      <x:c r="D60" s="12"/>
      <x:c r="E60" s="12"/>
      <x:c r="F60" s="12"/>
      <x:c r="G60" s="12"/>
    </x:row>
    <x:row r="61" ht="65" customHeight="1">
      <x:c r="A61" s="12" t="str">
        <x:v>Empfohlene Reihenfolge zur Besprechung</x:v>
      </x:c>
      <x:c r="B61" s="12" t="str">
        <x:v>Zuerst Frageformular auffinden und Speichern verlässlich verstehen. Danach mobile Navigation, Übersicht und Begriffe prüfen. Empfehlungen sind Gesprächsgrundlage, keine bereits freigegebenen Änderungen.</x:v>
      </x:c>
      <x:c r="C61" s="12"/>
      <x:c r="D61" s="12"/>
      <x:c r="E61" s="12"/>
      <x:c r="F61" s="12"/>
      <x:c r="G61" s="12"/>
    </x:row>
    <x:row r="63">
      <x:c r="A63" s="25" t="str">
        <x:v>4. Deskriptive Einzelfrage zur Bedienbarkeit (kein UEQ-S)</x:v>
      </x:c>
      <x:c r="B63" s="25"/>
      <x:c r="C63" s="25"/>
      <x:c r="D63" s="25"/>
      <x:c r="E63" s="25"/>
      <x:c r="F63" s="25"/>
    </x:row>
    <x:row r="64" ht="32" customHeight="1">
      <x:c r="A64" s="30" t="str">
        <x:v>Ausgefüllte Websitebögen</x:v>
      </x:c>
      <x:c r="B64" s="29" t="n">
        <x:f>COUNT('Quellen und Zuordnung'!E29:E41)</x:f>
        <x:v>13</x:v>
      </x:c>
      <x:c r="C64" s="30" t="str">
        <x:v>Kleine Gelegenheitsstichprobe; alle Angaben Handy. Rohwert 1/5 von P15 trotz positivem Freitext enthalten. Kennzahlen beschreiben Antworten, keine objektive Task-Leistung oder Repräsentativität.</x:v>
      </x:c>
      <x:c r="D64" s="30"/>
      <x:c r="E64" s="30"/>
      <x:c r="F64" s="30"/>
    </x:row>
    <x:row r="65" ht="32" customHeight="1">
      <x:c r="A65" s="30" t="str">
        <x:v>Median (1–5)</x:v>
      </x:c>
      <x:c r="B65" s="29" t="n">
        <x:f>MEDIAN('Quellen und Zuordnung'!E29:E41)</x:f>
        <x:v>4</x:v>
      </x:c>
      <x:c r="C65" s="30"/>
      <x:c r="D65" s="30"/>
      <x:c r="E65" s="30"/>
      <x:c r="F65" s="30"/>
    </x:row>
    <x:row r="66" ht="32" customHeight="1">
      <x:c r="A66" s="30" t="str">
        <x:v>Mittelwert (1–5)</x:v>
      </x:c>
      <x:c r="B66" s="29" t="n">
        <x:f>AVERAGE('Quellen und Zuordnung'!E29:E41)</x:f>
        <x:v>4.153846153846154</x:v>
      </x:c>
      <x:c r="C66" s="30"/>
      <x:c r="D66" s="30"/>
      <x:c r="E66" s="30"/>
      <x:c r="F66" s="30"/>
    </x:row>
    <x:row r="67" ht="32" customHeight="1">
      <x:c r="A67" s="30" t="str">
        <x:v>Bewertung 1</x:v>
      </x:c>
      <x:c r="B67" s="29" t="n">
        <x:f>COUNTIF('Quellen und Zuordnung'!E29:E41,1)</x:f>
        <x:v>1</x:v>
      </x:c>
    </x:row>
    <x:row r="68" ht="32" customHeight="1">
      <x:c r="A68" s="30" t="str">
        <x:v>Bewertung 2</x:v>
      </x:c>
      <x:c r="B68" s="29" t="n">
        <x:f>COUNTIF('Quellen und Zuordnung'!E29:E41,2)</x:f>
        <x:v>0</x:v>
      </x:c>
    </x:row>
    <x:row r="69" ht="32" customHeight="1">
      <x:c r="A69" s="30" t="str">
        <x:v>Bewertung 3</x:v>
      </x:c>
      <x:c r="B69" s="29" t="n">
        <x:f>COUNTIF('Quellen und Zuordnung'!E29:E41,3)</x:f>
        <x:v>0</x:v>
      </x:c>
    </x:row>
    <x:row r="70" ht="32" customHeight="1">
      <x:c r="A70" s="30" t="str">
        <x:v>Bewertung 4</x:v>
      </x:c>
      <x:c r="B70" s="29" t="n">
        <x:f>COUNTIF('Quellen und Zuordnung'!E29:E41,4)</x:f>
        <x:v>7</x:v>
      </x:c>
    </x:row>
    <x:row r="71" ht="32" customHeight="1">
      <x:c r="A71" s="30" t="str">
        <x:v>Bewertung 5</x:v>
      </x:c>
      <x:c r="B71" s="29" t="n">
        <x:f>COUNTIF('Quellen und Zuordnung'!E29:E41,5)</x:f>
        <x:v>5</x:v>
      </x:c>
    </x:row>
  </x:sheetData>
  <x:mergeCells>
    <x:mergeCell ref="A2:F2"/>
    <x:mergeCell ref="A28:F28"/>
    <x:mergeCell ref="A45:F45"/>
    <x:mergeCell ref="A53:F53"/>
    <x:mergeCell ref="B54:F54"/>
    <x:mergeCell ref="B55:F55"/>
    <x:mergeCell ref="B56:F56"/>
    <x:mergeCell ref="B57:F57"/>
    <x:mergeCell ref="B58:F58"/>
    <x:mergeCell ref="B59:F59"/>
    <x:mergeCell ref="B60:F60"/>
    <x:mergeCell ref="B61:F61"/>
    <x:mergeCell ref="A63:F63"/>
    <x:mergeCell ref="C64:F66"/>
  </x:mergeCells>
  <x:dataValidations count="1">
    <x:dataValidation type="list" sqref="D30:D43">
      <x:formula1>"kein Usability-Problem,kleines Usability-Problem,mittleres Usability-Problem,schweres Usability-Problem"</x:formula1>
    </x:dataValidation>
  </x:dataValidations>
  <x:pageMargins left="0.7" right="0.7" top="0.75" bottom="0.75" header="0.3" footer="0.3"/>
  <x:tableParts count="1">
    <x:tablePart xmlns:r="http://schemas.openxmlformats.org/officeDocument/2006/relationships" r:id="R8d567a63554046a5"/>
  </x:tableParts>
</x:worksheet>
</file>

<file path=xl/worksheets/sheet2.xml><?xml version="1.0" encoding="utf-8"?>
<x:worksheet xmlns:x="http://schemas.openxmlformats.org/spreadsheetml/2006/main">
  <x:sheetViews>
    <x:sheetView showGridLines="0" workbookViewId="0">
      <x:pane ySplit="3" topLeftCell="A4" activePane="bottomLeft" state="frozen"/>
    </x:sheetView>
  </x:sheetViews>
  <x:sheetFormatPr defaultRowHeight="15"/>
  <x:cols>
    <x:col min="1" max="1" width="28" hidden="0" customWidth="1"/>
    <x:col min="2" max="2" width="32" hidden="0" customWidth="1"/>
    <x:col min="3" max="3" width="90" hidden="0" customWidth="1"/>
    <x:col min="4" max="4" width="85" hidden="0" customWidth="1"/>
    <x:col min="5" max="5" width="18" hidden="0" customWidth="1"/>
    <x:col min="6" max="6" width="18" hidden="0" customWidth="1"/>
  </x:cols>
  <x:sheetData>
    <x:row r="1" ht="29" customHeight="1">
      <x:c r="A1" s="39" t="str">
        <x:v>Quellen und Namensabgleich</x:v>
      </x:c>
      <x:c r="B1" s="39"/>
      <x:c r="C1" s="39"/>
      <x:c r="D1" s="39"/>
      <x:c r="E1" s="39"/>
      <x:c r="F1" s="39"/>
    </x:row>
    <x:row r="2" ht="32" customHeight="1">
      <x:c r="A2" s="21" t="str">
        <x:v>Stand: 19.10.2026 · W = Website-Feedback, Q = gespeicherte Frage, WA = WhatsApp-Export, S1/S2 = Mäc-Screenshots</x:v>
      </x:c>
      <x:c r="B2" s="21"/>
      <x:c r="C2" s="21"/>
      <x:c r="D2" s="21"/>
      <x:c r="E2" s="21"/>
      <x:c r="F2" s="21"/>
    </x:row>
    <x:row r="3" ht="46" customHeight="1">
      <x:c r="A3" s="41" t="str">
        <x:v>Teilnehmer-ID</x:v>
      </x:c>
      <x:c r="B3" s="41" t="str">
        <x:v>Website-Name</x:v>
      </x:c>
      <x:c r="C3" s="41" t="str">
        <x:v>WA / Screenshot</x:v>
      </x:c>
      <x:c r="D3" s="41" t="str">
        <x:v>Zuordnung</x:v>
      </x:c>
      <x:c r="E3" s="41" t="str">
        <x:v>Website-Bewertung 1–5</x:v>
      </x:c>
      <x:c r="F3" s="41" t="str">
        <x:v>Gerät</x:v>
      </x:c>
    </x:row>
    <x:row r="4" ht="29" customHeight="1">
      <x:c r="A4" s="21" t="str">
        <x:v>P01</x:v>
      </x:c>
      <x:c r="B4" s="21" t="str">
        <x:v>Ella</x:v>
      </x:c>
      <x:c r="C4" s="21" t="str">
        <x:v>Ella</x:v>
      </x:c>
      <x:c r="D4" s="21" t="str">
        <x:v>Gleicher Name; Inhalte stimmen bei Website/WA überein, soweit vorhanden.</x:v>
      </x:c>
      <x:c r="E4" s="21" t="n">
        <x:v>4</x:v>
      </x:c>
      <x:c r="F4" s="21" t="str">
        <x:v>Handy</x:v>
      </x:c>
    </x:row>
    <x:row r="5" ht="29" customHeight="1">
      <x:c r="A5" s="21" t="str">
        <x:v>P02</x:v>
      </x:c>
      <x:c r="B5" s="21" t="str">
        <x:v>Jules</x:v>
      </x:c>
      <x:c r="C5" s="21" t="str">
        <x:v>Jules</x:v>
      </x:c>
      <x:c r="D5" s="21" t="str">
        <x:v>Gleicher Name; Inhalte stimmen bei Website/WA überein, soweit vorhanden.</x:v>
      </x:c>
      <x:c r="E5" s="21" t="n">
        <x:v>5</x:v>
      </x:c>
      <x:c r="F5" s="21" t="str">
        <x:v>Handy</x:v>
      </x:c>
    </x:row>
    <x:row r="6" ht="29" customHeight="1">
      <x:c r="A6" s="21" t="str">
        <x:v>P03</x:v>
      </x:c>
      <x:c r="B6" s="21" t="str">
        <x:v>Martin</x:v>
      </x:c>
      <x:c r="C6" s="21" t="str">
        <x:v>Martin</x:v>
      </x:c>
      <x:c r="D6" s="21" t="str">
        <x:v>Gleicher Name; Inhalte stimmen bei Website/WA überein, soweit vorhanden.</x:v>
      </x:c>
      <x:c r="E6" s="21" t="n">
        <x:v>4</x:v>
      </x:c>
      <x:c r="F6" s="21" t="str">
        <x:v>Handy</x:v>
      </x:c>
    </x:row>
    <x:row r="7" ht="29" customHeight="1">
      <x:c r="A7" s="21" t="str">
        <x:v>P04</x:v>
      </x:c>
      <x:c r="B7" s="21" t="str">
        <x:v>Katzelbert</x:v>
      </x:c>
      <x:c r="C7" s="21" t="str">
        <x:v>Kathy</x:v>
      </x:c>
      <x:c r="D7" s="21" t="str">
        <x:v>Exportüberschrift Katzelbert; Gesprächspartner ~Kathy. Nicht unabhängig verifiziert.</x:v>
      </x:c>
      <x:c r="E7" s="21"/>
      <x:c r="F7" s="21"/>
    </x:row>
    <x:row r="8" ht="29" customHeight="1">
      <x:c r="A8" s="21" t="str">
        <x:v>P05</x:v>
      </x:c>
      <x:c r="B8" s="21" t="str">
        <x:v>Anna</x:v>
      </x:c>
      <x:c r="C8" s="21" t="str">
        <x:v>Anna</x:v>
      </x:c>
      <x:c r="D8" s="21" t="str">
        <x:v>Gleicher Name; Inhalte stimmen bei Website/WA überein, soweit vorhanden.</x:v>
      </x:c>
      <x:c r="E8" s="21"/>
      <x:c r="F8" s="21"/>
    </x:row>
    <x:row r="9" ht="29" customHeight="1">
      <x:c r="A9" s="21" t="str">
        <x:v>P06</x:v>
      </x:c>
      <x:c r="B9" s="21" t="str">
        <x:v>Anja</x:v>
      </x:c>
      <x:c r="C9" s="21" t="str">
        <x:v>Anja</x:v>
      </x:c>
      <x:c r="D9" s="21" t="str">
        <x:v>Gleicher Name; Inhalte stimmen bei Website/WA überein, soweit vorhanden.</x:v>
      </x:c>
      <x:c r="E9" s="21" t="n">
        <x:v>5</x:v>
      </x:c>
      <x:c r="F9" s="21" t="str">
        <x:v>Handy</x:v>
      </x:c>
    </x:row>
    <x:row r="10" ht="29" customHeight="1">
      <x:c r="A10" s="21" t="str">
        <x:v>P07</x:v>
      </x:c>
      <x:c r="B10" s="21" t="str">
        <x:v>Mäc</x:v>
      </x:c>
      <x:c r="C10" s="21" t="str">
        <x:v>Mäc</x:v>
      </x:c>
      <x:c r="D10" s="21" t="str">
        <x:v>Gleicher Name; Inhalte stimmen bei Website/WA überein, soweit vorhanden.</x:v>
      </x:c>
      <x:c r="E10" s="21"/>
      <x:c r="F10" s="21"/>
    </x:row>
    <x:row r="11" ht="29" customHeight="1">
      <x:c r="A11" s="21" t="str">
        <x:v>P08</x:v>
      </x:c>
      <x:c r="B11" s="21" t="str">
        <x:v>Steven</x:v>
      </x:c>
      <x:c r="C11" s="21" t="str"/>
      <x:c r="D11" s="21" t="str">
        <x:v>Nur Website-Selbstauskunft.</x:v>
      </x:c>
      <x:c r="E11" s="21" t="n">
        <x:v>4</x:v>
      </x:c>
      <x:c r="F11" s="21" t="str">
        <x:v>Handy</x:v>
      </x:c>
    </x:row>
    <x:row r="12" ht="29" customHeight="1">
      <x:c r="A12" s="21" t="str">
        <x:v>P09</x:v>
      </x:c>
      <x:c r="B12" s="21" t="str">
        <x:v>Frami</x:v>
      </x:c>
      <x:c r="C12" s="21" t="str"/>
      <x:c r="D12" s="21" t="str">
        <x:v>Nur Website-Selbstauskunft.</x:v>
      </x:c>
      <x:c r="E12" s="21" t="n">
        <x:v>4</x:v>
      </x:c>
      <x:c r="F12" s="21" t="str">
        <x:v>Handy</x:v>
      </x:c>
    </x:row>
    <x:row r="13" ht="29" customHeight="1">
      <x:c r="A13" s="21" t="str">
        <x:v>P10</x:v>
      </x:c>
      <x:c r="B13" s="21" t="str">
        <x:v>Marry</x:v>
      </x:c>
      <x:c r="C13" s="21" t="str"/>
      <x:c r="D13" s="21" t="str">
        <x:v>Nur Website-Selbstauskunft.</x:v>
      </x:c>
      <x:c r="E13" s="21" t="n">
        <x:v>5</x:v>
      </x:c>
      <x:c r="F13" s="21" t="str">
        <x:v>Handy</x:v>
      </x:c>
    </x:row>
    <x:row r="14" ht="29" customHeight="1">
      <x:c r="A14" s="21" t="str">
        <x:v>P11</x:v>
      </x:c>
      <x:c r="B14" s="21" t="str">
        <x:v>Tina</x:v>
      </x:c>
      <x:c r="C14" s="21" t="str"/>
      <x:c r="D14" s="21" t="str">
        <x:v>Nur Website-Selbstauskunft.</x:v>
      </x:c>
      <x:c r="E14" s="21" t="n">
        <x:v>4</x:v>
      </x:c>
      <x:c r="F14" s="21" t="str">
        <x:v>Handy</x:v>
      </x:c>
    </x:row>
    <x:row r="15" ht="29" customHeight="1">
      <x:c r="A15" s="21" t="str">
        <x:v>P12</x:v>
      </x:c>
      <x:c r="B15" s="21" t="str">
        <x:v>Lynnilynsen</x:v>
      </x:c>
      <x:c r="C15" s="21" t="str"/>
      <x:c r="D15" s="21" t="str">
        <x:v>Nur Website-Selbstauskunft.</x:v>
      </x:c>
      <x:c r="E15" s="21" t="n">
        <x:v>5</x:v>
      </x:c>
      <x:c r="F15" s="21" t="str">
        <x:v>Handy</x:v>
      </x:c>
    </x:row>
    <x:row r="16" ht="29" customHeight="1">
      <x:c r="A16" s="21" t="str">
        <x:v>P13</x:v>
      </x:c>
      <x:c r="B16" s="21" t="str">
        <x:v>Kaiko</x:v>
      </x:c>
      <x:c r="C16" s="21" t="str"/>
      <x:c r="D16" s="21" t="str">
        <x:v>Nur Website-Selbstauskunft.</x:v>
      </x:c>
      <x:c r="E16" s="21" t="n">
        <x:v>5</x:v>
      </x:c>
      <x:c r="F16" s="21" t="str">
        <x:v>Handy</x:v>
      </x:c>
    </x:row>
    <x:row r="17" ht="29" customHeight="1">
      <x:c r="A17" s="21" t="str">
        <x:v>P14</x:v>
      </x:c>
      <x:c r="B17" s="21" t="str">
        <x:v>Sina</x:v>
      </x:c>
      <x:c r="C17" s="21" t="str"/>
      <x:c r="D17" s="21" t="str">
        <x:v>Nur Website-Selbstauskunft.</x:v>
      </x:c>
      <x:c r="E17" s="21" t="n">
        <x:v>4</x:v>
      </x:c>
      <x:c r="F17" s="21" t="str">
        <x:v>Handy</x:v>
      </x:c>
    </x:row>
    <x:row r="18" ht="29" customHeight="1">
      <x:c r="A18" s="21" t="str">
        <x:v>P15</x:v>
      </x:c>
      <x:c r="B18" s="21" t="str">
        <x:v>TheMazeBoy</x:v>
      </x:c>
      <x:c r="C18" s="21" t="str"/>
      <x:c r="D18" s="21" t="str">
        <x:v>Nur Website-Selbstauskunft.</x:v>
      </x:c>
      <x:c r="E18" s="21" t="n">
        <x:v>1</x:v>
      </x:c>
      <x:c r="F18" s="21" t="str">
        <x:v>Handy</x:v>
      </x:c>
    </x:row>
    <x:row r="19" ht="29" customHeight="1">
      <x:c r="A19" s="21" t="str">
        <x:v>P16</x:v>
      </x:c>
      <x:c r="B19" s="21" t="str">
        <x:v>Toffee</x:v>
      </x:c>
      <x:c r="C19" s="21" t="str"/>
      <x:c r="D19" s="21" t="str">
        <x:v>Nur Website-Selbstauskunft.</x:v>
      </x:c>
      <x:c r="E19" s="21" t="n">
        <x:v>4</x:v>
      </x:c>
      <x:c r="F19" s="21" t="str">
        <x:v>Handy</x:v>
      </x:c>
    </x:row>
    <x:row r="20" ht="29" customHeight="1">
      <x:c r="A20" s="21" t="str">
        <x:v>P17</x:v>
      </x:c>
      <x:c r="B20" s="21" t="str">
        <x:v>Alexandra</x:v>
      </x:c>
      <x:c r="C20" s="21" t="str"/>
      <x:c r="D20" s="21" t="str">
        <x:v>Nur Website-Selbstauskunft.</x:v>
      </x:c>
      <x:c r="E20" s="21"/>
      <x:c r="F20" s="21"/>
    </x:row>
    <x:row r="21" ht="29" customHeight="1">
      <x:c r="A21" s="21" t="str">
        <x:v>P18</x:v>
      </x:c>
      <x:c r="B21" s="21" t="str">
        <x:v>Angie</x:v>
      </x:c>
      <x:c r="C21" s="21" t="str"/>
      <x:c r="D21" s="21" t="str">
        <x:v>Nur Website-Selbstauskunft.</x:v>
      </x:c>
      <x:c r="E21" s="21"/>
      <x:c r="F21" s="21"/>
    </x:row>
    <x:row r="22" ht="29" customHeight="1">
      <x:c r="A22" s="21" t="str">
        <x:v>P19</x:v>
      </x:c>
      <x:c r="B22" s="21" t="str">
        <x:v>Mona</x:v>
      </x:c>
      <x:c r="C22" s="21" t="str"/>
      <x:c r="D22" s="21" t="str">
        <x:v>Nur Website-Selbstauskunft.</x:v>
      </x:c>
      <x:c r="E22" s="21"/>
      <x:c r="F22" s="21"/>
    </x:row>
    <x:row r="23" ht="29" customHeight="1">
      <x:c r="A23" s="21" t="str">
        <x:v>P20</x:v>
      </x:c>
      <x:c r="B23" s="21" t="str">
        <x:v>Test</x:v>
      </x:c>
      <x:c r="C23" s="21" t="str"/>
      <x:c r="D23" s="21" t="str">
        <x:v>Nur Website-Selbstauskunft.</x:v>
      </x:c>
      <x:c r="E23" s="21"/>
      <x:c r="F23" s="21"/>
    </x:row>
    <x:row r="24" ht="29" customHeight="1">
      <x:c r="A24" s="21" t="str">
        <x:v>P21</x:v>
      </x:c>
      <x:c r="B24" s="21" t="str">
        <x:v>Test Ida</x:v>
      </x:c>
      <x:c r="C24" s="21" t="str"/>
      <x:c r="D24" s="21" t="str">
        <x:v>Nur Website-Selbstauskunft.</x:v>
      </x:c>
      <x:c r="E24" s="21"/>
      <x:c r="F24" s="21"/>
    </x:row>
    <x:row r="25" ht="29" customHeight="1">
      <x:c r="A25" s="21" t="str">
        <x:v>P22</x:v>
      </x:c>
      <x:c r="B25" s="21" t="str">
        <x:v>Daniel</x:v>
      </x:c>
      <x:c r="C25" s="21" t="str"/>
      <x:c r="D25" s="21" t="str">
        <x:v>Nur Website-Selbstauskunft.</x:v>
      </x:c>
      <x:c r="E25" s="21"/>
      <x:c r="F25" s="21"/>
    </x:row>
    <x:row r="26" ht="26" customHeight="1">
      <x:c r="A26" s="21"/>
      <x:c r="B26" s="21"/>
      <x:c r="C26" s="21"/>
      <x:c r="D26" s="21"/>
      <x:c r="E26" s="21"/>
      <x:c r="F26" s="21"/>
    </x:row>
    <x:row r="27" ht="46" customHeight="1">
      <x:c r="A27" s="39" t="str">
        <x:v>W · Website-Feedback unverändert</x:v>
      </x:c>
      <x:c r="B27" s="39"/>
      <x:c r="C27" s="39"/>
      <x:c r="D27" s="39"/>
      <x:c r="E27" s="39"/>
      <x:c r="F27" s="39"/>
    </x:row>
    <x:row r="28" ht="29" customHeight="1">
      <x:c r="A28" s="21" t="str">
        <x:v>Teilnehmer-ID / Name</x:v>
      </x:c>
      <x:c r="B28" s="21" t="str">
        <x:v>Aktualisiert (UTC)</x:v>
      </x:c>
      <x:c r="C28" s="21" t="str">
        <x:v>Unklar / umständlich (Original)</x:v>
      </x:c>
      <x:c r="D28" s="21" t="str">
        <x:v>Fehlt (Original)</x:v>
      </x:c>
      <x:c r="E28" s="21" t="str">
        <x:v>Bewertung 1–5</x:v>
      </x:c>
      <x:c r="F28" s="21" t="str">
        <x:v>Gerät</x:v>
      </x:c>
    </x:row>
    <x:row r="29" ht="46" customHeight="1">
      <x:c r="A29" s="21" t="str">
        <x:v>P09 · Frami</x:v>
      </x:c>
      <x:c r="B29" s="21" t="d">
        <x:v>2026-10-18T12:14:10.482Z</x:v>
      </x:c>
      <x:c r="C29" s="21" t="str">
        <x:v>Ich habe einen Moment gebraucht, um die Menüführung zu verstehen und wo welche Punkte sind. Letztlich habe ich aber alles gefunden.</x:v>
      </x:c>
      <x:c r="D29" s="21" t="str">
        <x:v>Nein.</x:v>
      </x:c>
      <x:c r="E29" s="21" t="n">
        <x:v>4</x:v>
      </x:c>
      <x:c r="F29" s="21" t="str">
        <x:v>Handy</x:v>
      </x:c>
    </x:row>
    <x:row r="30" ht="46" customHeight="1">
      <x:c r="A30" s="21" t="str">
        <x:v>P10 · Marry</x:v>
      </x:c>
      <x:c r="B30" s="21" t="d">
        <x:v>2026-10-18T18:11:39.322Z</x:v>
      </x:c>
      <x:c r="C30" s="21" t="str">
        <x:v>Die Seite ist durchaus intuitiv.
Fragen und Antworten hab ich kurz gesucht. War dann aber letztlich auch nicht schwer.</x:v>
      </x:c>
      <x:c r="D30" s="21" t="str">
        <x:v>So spontan ist mir nichts eingefallen, was ich noch bräuchte.</x:v>
      </x:c>
      <x:c r="E30" s="21" t="n">
        <x:v>5</x:v>
      </x:c>
      <x:c r="F30" s="21" t="str">
        <x:v>Handy</x:v>
      </x:c>
    </x:row>
    <x:row r="31" ht="46" customHeight="1">
      <x:c r="A31" s="21" t="str">
        <x:v>P08 · Steven</x:v>
      </x:c>
      <x:c r="B31" s="21" t="d">
        <x:v>2026-10-17T07:17:05.931Z</x:v>
      </x:c>
      <x:c r="C31" s="21" t="str">
        <x:v>Unklar nicht aber es wäre gut wenn angezeigt wird, vielleicht durch Farben, was erledigt ist und was noch offen ist.
Klar im Moment ist ja nur Anreise und Zimmer abgefragt oder ?</x:v>
      </x:c>
      <x:c r="D31" s="21" t="str">
        <x:v>Nö würde ich jetzt so spontan nicht sagen 
Ist im gesamten sehr gut aufgebaut</x:v>
      </x:c>
      <x:c r="E31" s="21" t="n">
        <x:v>4</x:v>
      </x:c>
      <x:c r="F31" s="21" t="str">
        <x:v>Handy</x:v>
      </x:c>
    </x:row>
    <x:row r="32" ht="80" customHeight="1">
      <x:c r="A32" s="21" t="str">
        <x:v>P02 · Jules</x:v>
      </x:c>
      <x:c r="B32" s="21" t="d">
        <x:v>2026-10-17T07:11:32.872Z</x:v>
      </x:c>
      <x:c r="C32" s="21" t="str">
        <x:v>Ich finde den roten Kasten zu viel unter „Übersicht“, denn „meine Planung“ ist ja ein eigenständiger Reiter. Das scheint mir zu viel und doppelt</x:v>
      </x:c>
      <x:c r="D32" s="21" t="str">
        <x:v>Für mich fehlt ein Reiter mit „News aus Würzburg“, wo du alle Infos teilst, die du aus Würzburg bekommst. Alles, was relevant ist fürs Festival.
Oder vielleicht heißt der auch „Festival-Infos“. 
Bei mir gibt es in der Ansicht keinen Reiter oder Button „Fragen &amp; Antworten“.</x:v>
      </x:c>
      <x:c r="E32" s="21" t="n">
        <x:v>5</x:v>
      </x:c>
      <x:c r="F32" s="21" t="str">
        <x:v>Handy</x:v>
      </x:c>
    </x:row>
    <x:row r="33" ht="29" customHeight="1">
      <x:c r="A33" s="21" t="str">
        <x:v>P06 · Anja</x:v>
      </x:c>
      <x:c r="B33" s="21" t="d">
        <x:v>2026-10-18T18:54:50.873Z</x:v>
      </x:c>
      <x:c r="C33" s="21" t="str">
        <x:v>Alles klar</x:v>
      </x:c>
      <x:c r="D33" s="21" t="str">
        <x:v>Übersicht vllt noch etwas besser/einfacher machen</x:v>
      </x:c>
      <x:c r="E33" s="21" t="n">
        <x:v>5</x:v>
      </x:c>
      <x:c r="F33" s="21" t="str">
        <x:v>Handy</x:v>
      </x:c>
    </x:row>
    <x:row r="34" ht="29" customHeight="1">
      <x:c r="A34" s="21" t="str">
        <x:v>P13 · Kaiko</x:v>
      </x:c>
      <x:c r="B34" s="21" t="d">
        <x:v>2026-10-18T15:44:31.104Z</x:v>
      </x:c>
      <x:c r="C34" s="21" t="str">
        <x:v>Nichts</x:v>
      </x:c>
      <x:c r="D34" s="21" t="str">
        <x:v>Nein</x:v>
      </x:c>
      <x:c r="E34" s="21" t="n">
        <x:v>5</x:v>
      </x:c>
      <x:c r="F34" s="21" t="str">
        <x:v>Handy</x:v>
      </x:c>
    </x:row>
    <x:row r="35" ht="46" customHeight="1">
      <x:c r="A35" s="21" t="str">
        <x:v>P03 · Martin</x:v>
      </x:c>
      <x:c r="B35" s="21" t="d">
        <x:v>2026-10-16T23:58:19.925Z</x:v>
      </x:c>
      <x:c r="C35" s="21" t="str">
        <x:v>Den Test-Feedback Button finden. Das Scrollen zur Seite war nicht offensichtlich. Noch zu viel Text an einigen Stellen.</x:v>
      </x:c>
      <x:c r="D35" s="21" t="str">
        <x:v>Nein</x:v>
      </x:c>
      <x:c r="E35" s="21" t="n">
        <x:v>4</x:v>
      </x:c>
      <x:c r="F35" s="21" t="str">
        <x:v>Handy</x:v>
      </x:c>
    </x:row>
    <x:row r="36" ht="29" customHeight="1">
      <x:c r="A36" s="21" t="str">
        <x:v>P14 · Sina</x:v>
      </x:c>
      <x:c r="B36" s="21" t="d">
        <x:v>2026-10-18T14:17:30.811Z</x:v>
      </x:c>
      <x:c r="C36" s="21" t="str"/>
      <x:c r="D36" s="21" t="str"/>
      <x:c r="E36" s="21" t="n">
        <x:v>4</x:v>
      </x:c>
      <x:c r="F36" s="21" t="str">
        <x:v>Handy</x:v>
      </x:c>
    </x:row>
    <x:row r="37" ht="29" customHeight="1">
      <x:c r="A37" s="21" t="str">
        <x:v>P11 · Tina</x:v>
      </x:c>
      <x:c r="B37" s="21" t="d">
        <x:v>2026-10-18T15:26:20.763Z</x:v>
      </x:c>
      <x:c r="C37" s="21" t="str">
        <x:v>Fragen&amp; Antworten nicht gleich gefunden. 
Gewöhnung an Appaufbau.</x:v>
      </x:c>
      <x:c r="D37" s="21" t="str">
        <x:v>Keine Ahnung. Bisher nicht</x:v>
      </x:c>
      <x:c r="E37" s="21" t="n">
        <x:v>4</x:v>
      </x:c>
      <x:c r="F37" s="21" t="str">
        <x:v>Handy</x:v>
      </x:c>
    </x:row>
    <x:row r="38" ht="46" customHeight="1">
      <x:c r="A38" s="21" t="str">
        <x:v>P12 · Lynnilynsen</x:v>
      </x:c>
      <x:c r="B38" s="21" t="d">
        <x:v>2026-10-18T20:01:56.377Z</x:v>
      </x:c>
      <x:c r="C38" s="21" t="str">
        <x:v>Bei Aktualisierung der Seite waren Angaben teilweise verschwunden, teilweise nicht. Mag aber auch an meiner Dummheit liegen.</x:v>
      </x:c>
      <x:c r="D38" s="21" t="str">
        <x:v>Falls mir was einfällt, schreib ich dir nochmal. Finde es aber einfach meeeegaaaa das du dir solche Arbeit machst!!! Danke dafür und fetten Respekt!</x:v>
      </x:c>
      <x:c r="E38" s="21" t="n">
        <x:v>5</x:v>
      </x:c>
      <x:c r="F38" s="21" t="str">
        <x:v>Handy</x:v>
      </x:c>
    </x:row>
    <x:row r="39" ht="131" customHeight="1">
      <x:c r="A39" s="21" t="str">
        <x:v>P01 · Ella</x:v>
      </x:c>
      <x:c r="B39" s="21" t="d">
        <x:v>2026-10-17T07:26:05.386Z</x:v>
      </x:c>
      <x:c r="C39" s="21" t="str">
        <x:v>Bei der Angabe der Personen, mit denen ein Zimmer geteilt wird, kam ich nach Auswahl nicht gut ins Menü zurück nach dem Anklicken. Bei der Auswahl der Personen bei Wem ich im Auto mitfahre lief es problemlos und super.  Toll wäre, wenn die Auswahl hier genau wie bei der Anreise funktioniert.</x:v>
      </x:c>
      <x:c r="D39" s="21" t="str">
        <x:v>Erstmal - ey wie geil ist das schon wieder ? Danke fürs erstellen , finde es Mega cool , super aufgebaut und echt intuitiv vom ausfüllen ❤️ meiner Meinung nach war alles wichtige dabei an Infos. Ich wollte erst alle Themenfelder ausfüllen bevor ich sie Speichere. Hab erst Anreise und dann Unterkunft bearbeitet. Dadurch waren dann aber meine Daten bei Anreise wieder raus , weil ich nicht auf „Angaben speichern“ gedrückt habe. Ggf. Könnte man nochmal einen Hinweis Text hier oder dann beim Versand des links dazu aufnehmen :) die Testfrage hab ich eben nicht gefunden</x:v>
      </x:c>
      <x:c r="E39" s="21" t="n">
        <x:v>4</x:v>
      </x:c>
      <x:c r="F39" s="21" t="str">
        <x:v>Handy</x:v>
      </x:c>
    </x:row>
    <x:row r="40" ht="46" customHeight="1">
      <x:c r="A40" s="21" t="str">
        <x:v>P15 · TheMazeBoy</x:v>
      </x:c>
      <x:c r="B40" s="21" t="d">
        <x:v>2026-10-17T12:37:31.039Z</x:v>
      </x:c>
      <x:c r="C40" s="21" t="str">
        <x:v>Eigentlich alles klar
Vielleicht das scrollen oben nachts rechts, um test feedback zu finden, war etwas unintuitiv</x:v>
      </x:c>
      <x:c r="D40" s="21" t="str">
        <x:v>Liebe und sanfte Umarmungen und vllt n meme</x:v>
      </x:c>
      <x:c r="E40" s="21" t="n">
        <x:v>1</x:v>
      </x:c>
      <x:c r="F40" s="21" t="str">
        <x:v>Handy</x:v>
      </x:c>
    </x:row>
    <x:row r="41" ht="29" customHeight="1">
      <x:c r="A41" s="21" t="str">
        <x:v>P16 · Toffee</x:v>
      </x:c>
      <x:c r="B41" s="21" t="d">
        <x:v>2026-10-18T11:53:59.375Z</x:v>
      </x:c>
      <x:c r="C41" s="21" t="str">
        <x:v>Nö</x:v>
      </x:c>
      <x:c r="D41" s="21" t="str">
        <x:v>Aktuelle Bierpreise</x:v>
      </x:c>
      <x:c r="E41" s="21" t="n">
        <x:v>4</x:v>
      </x:c>
      <x:c r="F41" s="21" t="str">
        <x:v>Handy</x:v>
      </x:c>
    </x:row>
    <x:row r="42" ht="26" customHeight="1">
      <x:c r="A42" s="21"/>
      <x:c r="B42" s="21"/>
      <x:c r="C42" s="21"/>
      <x:c r="D42" s="21"/>
      <x:c r="E42" s="21"/>
      <x:c r="F42" s="21"/>
    </x:row>
    <x:row r="43" ht="29" customHeight="1">
      <x:c r="A43" s="39" t="str">
        <x:v>Q · Gespeicherte Testfragen</x:v>
      </x:c>
      <x:c r="B43" s="39"/>
      <x:c r="C43" s="39"/>
      <x:c r="D43" s="39"/>
      <x:c r="E43" s="39"/>
      <x:c r="F43" s="39"/>
    </x:row>
    <x:row r="44" ht="29" customHeight="1">
      <x:c r="A44" s="21" t="str">
        <x:v>Teilnehmer-ID / Name</x:v>
      </x:c>
      <x:c r="B44" s="21" t="str">
        <x:v>Erstellt (UTC)</x:v>
      </x:c>
      <x:c r="C44" s="21" t="str">
        <x:v>Frage (Original)</x:v>
      </x:c>
      <x:c r="D44" s="21"/>
      <x:c r="E44" s="21"/>
      <x:c r="F44" s="21"/>
    </x:row>
    <x:row r="45" ht="46" customHeight="1">
      <x:c r="A45" s="21" t="str">
        <x:v>P01 · Ella</x:v>
      </x:c>
      <x:c r="B45" s="21" t="d">
        <x:v>2026-10-17T07:27:17.236Z</x:v>
      </x:c>
      <x:c r="C45" s="21" t="str">
        <x:v>Ahhh ok hab hier jetzt doch die testfrage gefunden- war vorm ersten Kaffee noch 😂 wann PKC Tournee frage ich ?</x:v>
      </x:c>
      <x:c r="D45" s="21"/>
      <x:c r="E45" s="21"/>
      <x:c r="F45" s="21"/>
    </x:row>
    <x:row r="46" ht="29" customHeight="1">
      <x:c r="A46" s="21" t="str">
        <x:v>P10 · Marry</x:v>
      </x:c>
      <x:c r="B46" s="21" t="d">
        <x:v>2026-10-18T18:08:46.078Z</x:v>
      </x:c>
      <x:c r="C46" s="21" t="str">
        <x:v>Muss ich wirklich mein Businteresse bis 25.10.2026 anmelden? 😜</x:v>
      </x:c>
      <x:c r="D46" s="21"/>
      <x:c r="E46" s="21"/>
      <x:c r="F46" s="21"/>
    </x:row>
    <x:row r="47" ht="46" customHeight="1">
      <x:c r="A47" s="21" t="str">
        <x:v>P12 · Lynnilynsen</x:v>
      </x:c>
      <x:c r="B47" s="21" t="d">
        <x:v>2026-10-18T19:59:55.842Z</x:v>
      </x:c>
      <x:c r="C47" s="21" t="str">
        <x:v>Wenn wir sagen, Fische leben "unter Wasser", bedeutet das dann, dass wir für Fische über Luft leben?</x:v>
      </x:c>
      <x:c r="D47" s="21"/>
      <x:c r="E47" s="21"/>
      <x:c r="F47" s="21"/>
    </x:row>
    <x:row r="48" ht="29" customHeight="1">
      <x:c r="A48" s="21" t="str">
        <x:v>P17 · Alexandra</x:v>
      </x:c>
      <x:c r="B48" s="21" t="d">
        <x:v>2026-10-17T07:33:50.841Z</x:v>
      </x:c>
      <x:c r="C48" s="21" t="str">
        <x:v>Stinkt Schäfi?</x:v>
      </x:c>
      <x:c r="D48" s="21"/>
      <x:c r="E48" s="21"/>
      <x:c r="F48" s="21"/>
    </x:row>
    <x:row r="49" ht="29" customHeight="1">
      <x:c r="A49" s="21" t="str">
        <x:v>P15 · TheMazeBoy</x:v>
      </x:c>
      <x:c r="B49" s="21" t="d">
        <x:v>2026-10-17T12:35:31.595Z</x:v>
      </x:c>
      <x:c r="C49" s="21" t="str">
        <x:v>Ja, äh, ist Mayonnaise eigentlich ein Instrument?</x:v>
      </x:c>
      <x:c r="D49" s="21"/>
      <x:c r="E49" s="21"/>
      <x:c r="F49" s="21"/>
    </x:row>
    <x:row r="50" ht="29" customHeight="1">
      <x:c r="A50" s="21" t="str">
        <x:v>P03 · Martin</x:v>
      </x:c>
      <x:c r="B50" s="21" t="d">
        <x:v>2026-10-16T23:43:08.367Z</x:v>
      </x:c>
      <x:c r="C50" s="21" t="str">
        <x:v>Wer isn der Typ mit den langen Haaren (nicht blau) der manchmal Cajon spielt nochmal?</x:v>
      </x:c>
      <x:c r="D50" s="21"/>
      <x:c r="E50" s="21"/>
      <x:c r="F50" s="21"/>
    </x:row>
    <x:row r="51" ht="29" customHeight="1">
      <x:c r="A51" s="21" t="str">
        <x:v>P16 · Toffee</x:v>
      </x:c>
      <x:c r="B51" s="21" t="d">
        <x:v>2026-10-18T11:53:06.842Z</x:v>
      </x:c>
      <x:c r="C51" s="21" t="str">
        <x:v>Sind bereits gemeinsame Aktivitäten geplant? Z.B. Weinwanderung?</x:v>
      </x:c>
      <x:c r="D51" s="21"/>
      <x:c r="E51" s="21"/>
      <x:c r="F51" s="21"/>
    </x:row>
    <x:row r="52" ht="29" customHeight="1">
      <x:c r="A52" s="21" t="str">
        <x:v>P11 · Tina</x:v>
      </x:c>
      <x:c r="B52" s="21" t="d">
        <x:v>2026-10-18T15:25:01.223Z</x:v>
      </x:c>
      <x:c r="C52" s="21" t="str">
        <x:v>Wie viel Gelorevoice gibt es?</x:v>
      </x:c>
      <x:c r="D52" s="21"/>
      <x:c r="E52" s="21"/>
      <x:c r="F52" s="21"/>
    </x:row>
    <x:row r="53" ht="29" customHeight="1">
      <x:c r="A53" s="21" t="str">
        <x:v>P06 · Anja</x:v>
      </x:c>
      <x:c r="B53" s="21" t="d">
        <x:v>2026-10-18T18:52:32.466Z</x:v>
      </x:c>
      <x:c r="C53" s="21" t="str">
        <x:v>Wie kann man nur so clever sein und so eine App entwickeln?? 😱😱</x:v>
      </x:c>
      <x:c r="D53" s="21"/>
      <x:c r="E53" s="21"/>
      <x:c r="F53" s="21"/>
    </x:row>
    <x:row r="54" ht="29" customHeight="1">
      <x:c r="A54" s="21" t="str">
        <x:v>P13 · Kaiko</x:v>
      </x:c>
      <x:c r="B54" s="21" t="d">
        <x:v>2026-10-18T15:43:50.789Z</x:v>
      </x:c>
      <x:c r="C54" s="21" t="str">
        <x:v>Wie alt bist du?</x:v>
      </x:c>
      <x:c r="D54" s="21"/>
      <x:c r="E54" s="21"/>
      <x:c r="F54" s="21"/>
    </x:row>
    <x:row r="55" ht="29" customHeight="1">
      <x:c r="A55" s="21" t="str">
        <x:v>P09 · Frami</x:v>
      </x:c>
      <x:c r="B55" s="21" t="d">
        <x:v>2026-10-18T12:12:57.792Z</x:v>
      </x:c>
      <x:c r="C55" s="21" t="str">
        <x:v>Wie wird denn das Wetter so? Brauche ich Regensachen?</x:v>
      </x:c>
      <x:c r="D55" s="21"/>
      <x:c r="E55" s="21"/>
      <x:c r="F55" s="21"/>
    </x:row>
    <x:row r="56" ht="26" customHeight="1">
      <x:c r="A56" s="21"/>
      <x:c r="B56" s="21"/>
      <x:c r="C56" s="21"/>
      <x:c r="D56" s="21"/>
      <x:c r="E56" s="21"/>
      <x:c r="F56" s="21"/>
    </x:row>
    <x:row r="57" ht="63" customHeight="1">
      <x:c r="A57" s="39" t="str">
        <x:v>WA · Originaltext und gelieferte Sprachnachricht-Transkripte</x:v>
      </x:c>
      <x:c r="B57" s="39"/>
      <x:c r="C57" s="39"/>
      <x:c r="D57" s="39"/>
      <x:c r="E57" s="39"/>
      <x:c r="F57" s="39"/>
    </x:row>
    <x:row r="58" ht="29" customHeight="1">
      <x:c r="A58" s="21" t="str">
        <x:v>Quelle</x:v>
      </x:c>
      <x:c r="B58" s="21" t="str">
        <x:v>Abschnitt</x:v>
      </x:c>
      <x:c r="C58" s="21" t="str">
        <x:v>Originaltext</x:v>
      </x:c>
      <x:c r="D58" s="21"/>
      <x:c r="E58" s="21"/>
      <x:c r="F58" s="21"/>
    </x:row>
    <x:row r="59" ht="29" customHeight="1">
      <x:c r="A59" s="21" t="str">
        <x:v>Feedback Whatsapp.txt</x:v>
      </x:c>
      <x:c r="B59" s="21" t="str">
        <x:v>Abschnitt 1</x:v>
      </x:c>
      <x:c r="C59" s="21" t="str">
        <x:v>Ella:</x:v>
      </x:c>
      <x:c r="D59" s="21"/>
      <x:c r="E59" s="21"/>
      <x:c r="F59" s="21"/>
    </x:row>
    <x:row r="60" ht="63" customHeight="1">
      <x:c r="A60" s="21" t="str">
        <x:v>Feedback Whatsapp.txt</x:v>
      </x:c>
      <x:c r="B60" s="21" t="str">
        <x:v>Abschnitt 2</x:v>
      </x:c>
      <x:c r="C60" s="21" t="str">
        <x:v>[17.10.26, 00:24:19] D: Hey 😊 Ich bastle gerade an einer Seite fürs Würzburg-Festival, die später in unsere PKC-App integriert werden soll. Hättest du heute 5–10 Minuten, um sie auszuprobieren?</x:v>
      </x:c>
      <x:c r="D60" s="21"/>
      <x:c r="E60" s="21"/>
      <x:c r="F60" s="21"/>
    </x:row>
    <x:row r="61" ht="29" customHeight="1">
      <x:c r="A61" s="21" t="str">
        <x:v>Feedback Whatsapp.txt</x:v>
      </x:c>
      <x:c r="B61" s="21" t="str">
        <x:v>Abschnitt 3</x:v>
      </x:c>
      <x:c r="C61" s="21" t="str">
        <x:v>https://tinyurl.com/23mkb2a7</x:v>
      </x:c>
      <x:c r="D61" s="21"/>
      <x:c r="E61" s="21"/>
      <x:c r="F61" s="21"/>
    </x:row>
    <x:row r="62" ht="46" customHeight="1">
      <x:c r="A62" s="21" t="str">
        <x:v>Feedback Whatsapp.txt</x:v>
      </x:c>
      <x:c r="B62" s="21" t="str">
        <x:v>Abschnitt 4</x:v>
      </x:c>
      <x:c r="C62" s="21" t="str">
        <x:v>Du brauchst keinen Account: Einfach deinen Namen eingeben und auf „Test starten“ klicken. So kann ich deine Rückmeldungen zuordnen.</x:v>
      </x:c>
      <x:c r="D62" s="21"/>
      <x:c r="E62" s="21"/>
      <x:c r="F62" s="21"/>
    </x:row>
    <x:row r="63" ht="165" customHeight="1">
      <x:c r="A63" s="21" t="str">
        <x:v>Feedback Whatsapp.txt</x:v>
      </x:c>
      <x:c r="B63" s="21" t="str">
        <x:v>Abschnitt 5 · Teil 1</x:v>
      </x:c>
      <x:c r="C63" s="21" t="str">
        <x:v>Probier bitte mal aus:
•⁠  ⁠Finde heraus, bis wann du dein Businteresse angeben sollst.
•⁠  ⁠Trag unter „Meine Planung“ eine Anreise und Unterkunft ein und speichere beides.
•⁠  ⁠Schick über „Fragen &amp; Antworten“ eine Testfrage.
•⁠  ⁠Schreib unter „Test-Feedback“, was verständlich war und wo du hängen geblieben bist.
Mehr lesen
[17.10.26, 09:17:45] D: Ah sorry wenn den link öffnest, musst du unten „Continue to you destination“ klicken. Und ich verspreche es ist keine fishing Website 🤣
[17.10.26, 09:30:45] Ella: Good morning ! Hahahha hatte ich auch gemacht aber gut dass du’s nochmal sagst 😁 Leben am Limit ist mein Motto - hab so auf deine Nachricht vertraut 😂 ich wollte dir grad als Feedback schreiben, dass ich alles ausgefüllt hab und es richtig toll finde 😍ausführliches Feedback über </x:v>
      </x:c>
      <x:c r="D63" s="21"/>
      <x:c r="E63" s="21"/>
      <x:c r="F63" s="21"/>
    </x:row>
    <x:row r="64" ht="131" customHeight="1">
      <x:c r="A64" s="21" t="str">
        <x:v>Feedback Whatsapp.txt</x:v>
      </x:c>
      <x:c r="B64" s="21" t="str">
        <x:v>Abschnitt 5 · Teil 2</x:v>
      </x:c>
      <x:c r="C64" s="21" t="str">
        <x:v>die Seite !
Aber der Start auf der anderen Seite irritiert total 😂 wenn man das dann dazu sagt ist es tip top ! Danke für die Mühen 😍
[17.10.26, 09:40:04] D: Vielen Dank dir, dass du dir Zeit genommen hast ❤️
[17.10.26, 09:42:29] D: Oh ich kann von dir kein feedback auf der seite sehen. 😅
Von den anderen aber schon
[17.10.26, 09:50:33] D: aaaaah nice danke super hilfreich ich werd dann einfach den skript copy pasten und das speichern ändere ich dann, das ergibt schon sinn was du sagst
[17.10.26, 09:51:10] D: du musst das feedback nicht nochmal schreiben, das reicht mir so alle mal. &lt;3</x:v>
      </x:c>
      <x:c r="D64" s="21"/>
      <x:c r="E64" s="21"/>
      <x:c r="F64" s="21"/>
    </x:row>
    <x:row r="65" ht="46" customHeight="1">
      <x:c r="A65" s="21" t="str">
        <x:v>Feedback Whatsapp.txt</x:v>
      </x:c>
      <x:c r="B65" s="21" t="str">
        <x:v>Abschnitt 6</x:v>
      </x:c>
      <x:c r="C65" s="21" t="str">
        <x:v>Vielen vielen dank und dir auch ein schönes Wochenende ❤️
[17.10.26, 10:00:04] D: Für mich ist es auch ein "nice to have“, aber nicht elementar.</x:v>
      </x:c>
      <x:c r="D65" s="21"/>
      <x:c r="E65" s="21"/>
      <x:c r="F65" s="21"/>
    </x:row>
    <x:row r="66" ht="80" customHeight="1">
      <x:c r="A66" s="21" t="str">
        <x:v>Feedback Whatsapp.txt</x:v>
      </x:c>
      <x:c r="B66" s="21" t="str">
        <x:v>Abschnitt 7</x:v>
      </x:c>
      <x:c r="C66" s="21" t="str">
        <x:v>und wenn du jemanden angibst, die mit dir auf einem zimmer ist, wird das für die person auf der seite selber schon dargestellt und sie wird benachrichtigt, dass du sie schon angegeben hast im hotel und in dem zimmer. Das heißt die Person muss die Angabe dann gar nicht mehr tun.</x:v>
      </x:c>
      <x:c r="D66" s="21"/>
      <x:c r="E66" s="21"/>
      <x:c r="F66" s="21"/>
    </x:row>
    <x:row r="67" ht="148" customHeight="1">
      <x:c r="A67" s="21" t="str">
        <x:v>Feedback Whatsapp.txt</x:v>
      </x:c>
      <x:c r="B67" s="21" t="str">
        <x:v>Abschnitt 8</x:v>
      </x:c>
      <x:c r="C67" s="21" t="str">
        <x:v>Und auf dem gleichen zimmer finde ich schon gut zu wissen, wenn ich jetzt jemanden suche, die in deinem zimmer untergekommen ist und nicht erreiche, kann ich wenigstens die anderen aus dem zimmer fragen. 🙂
[17.10.26, 10:02:34] D: hab ich auch überlegt, aber habe es etwas früh wieder verworfen, wenn zb jemand ins hostel geht etc etc. und ich weiß nicht, wenn zb du angibst, dass du in einem zimmer schläfst und noch platz ist, ob du möchtest, dass potentiell jede sich da einbuchen kann... bei ner autofahrt ist das bestimmt noch ok, aber beim übernachten wusste ich nicht so, ob wirkliche jede person mit jeder person auf einem zimmer schlafen kann. 🙂</x:v>
      </x:c>
      <x:c r="D67" s="21"/>
      <x:c r="E67" s="21"/>
      <x:c r="F67" s="21"/>
    </x:row>
    <x:row r="68" ht="165" customHeight="1">
      <x:c r="A68" s="21" t="str">
        <x:v>Feedback Whatsapp.txt</x:v>
      </x:c>
      <x:c r="B68" s="21" t="str">
        <x:v>Abschnitt 9 · Teil 1</x:v>
      </x:c>
      <x:c r="C68" s="21" t="str">
        <x:v>Aber du würdest weiterhin sagen, dass das eine praktische abfrage ist?
[17.10.26, 10:03:02] Ella: Jaaaa gute Punkte
[17.10.26, 10:03:09] Ella: Macht Sinn für mich
[17.10.26, 10:03:21] Ella: Lass drin die Abfrage 🤝
[17.10.26, 10:06:12] D: ich hatte eig noch ganz andere ideen, wie man auch sicherer stellen kann, dass jede person, und ehrlicher weise besonders die frauen von uns, alle nachts heil ins Hotel kommen... aber die hatten dann alle irgendwelche Haken. Also werde ich später auf der Seite darauf hinweisen, dass die leute sich vllt safenow untereinander einrichten oder so.
[17.10.26, 10:23:15] D: ah nur zur info, jetzt ist dein feedback da. Falls du es nicht im nachhinein geschrieben hast, brauch das feedback wohl etwas länger ^^
[17.10.26, 10:30:33] Ella: Ahhh spannend ! Nee habs nic</x:v>
      </x:c>
      <x:c r="D68" s="21"/>
      <x:c r="E68" s="21"/>
      <x:c r="F68" s="21"/>
    </x:row>
    <x:row r="69" ht="46" customHeight="1">
      <x:c r="A69" s="21" t="str">
        <x:v>Feedback Whatsapp.txt</x:v>
      </x:c>
      <x:c r="B69" s="21" t="str">
        <x:v>Abschnitt 9 · Teil 2</x:v>
      </x:c>
      <x:c r="C69" s="21" t="str">
        <x:v>ht nochmal geschrieben hat dann wohl echt was länger braucht
[17.10.26, 10:36:05] D: ok dann ist das aber auch sehr gut zu wissen. danke 🙂</x:v>
      </x:c>
      <x:c r="D69" s="21"/>
      <x:c r="E69" s="21"/>
      <x:c r="F69" s="21"/>
    </x:row>
    <x:row r="70" ht="29" customHeight="1">
      <x:c r="A70" s="21" t="str">
        <x:v>Feedback Whatsapp.txt</x:v>
      </x:c>
      <x:c r="B70" s="21" t="str">
        <x:v>Abschnitt 10</x:v>
      </x:c>
      <x:c r="C70" s="21" t="str">
        <x:v>Voicemails Daniel Ella</x:v>
      </x:c>
      <x:c r="D70" s="21"/>
      <x:c r="E70" s="21"/>
      <x:c r="F70" s="21"/>
    </x:row>
    <x:row r="71" ht="131" customHeight="1">
      <x:c r="A71" s="21" t="str">
        <x:v>Feedback Whatsapp.txt</x:v>
      </x:c>
      <x:c r="B71" s="21" t="str">
        <x:v>Abschnitt 11</x:v>
      </x:c>
      <x:c r="C71" s="21" t="str">
        <x:v>Ella  •  00:00
Oh nö, warum das nicht? Ich habe alles so schön ausgefüllt. Oh, aber ey, das jetzt aber nochmal durchklicken, dann habe ich jetzt keine Zeit. Ich gebe es dir mal kurz hier. Ich hatte nur geschrieben, dass ich es mega, mega geil finde, was ihr da auf die Beine gestellt habt, dass ich grundsätzlich auch finde, dass alle, alle wichtigen Sachen dabei und drin sind, auch intuitiv auszufallen ist, also passt. Mir ist nur aufgefallen, zwei Sachen, zwei kleine Sachen, also bei... Warte mal, ich muss mal ganz kurz abschicken, bin gleich wieder da, Moment.</x:v>
      </x:c>
      <x:c r="D71" s="21"/>
      <x:c r="E71" s="21"/>
      <x:c r="F71" s="21"/>
    </x:row>
    <x:row r="72" ht="165" customHeight="1">
      <x:c r="A72" s="21" t="str">
        <x:v>Feedback Whatsapp.txt</x:v>
      </x:c>
      <x:c r="B72" s="21" t="str">
        <x:v>Abschnitt 12 · Teil 1</x:v>
      </x:c>
      <x:c r="C72" s="21" t="str">
        <x:v>Ella  •  00:00
So, also mir ist nur aufgefallen, bei Anreise, wo man da die mit im Zimmer, welche die mit drin sind, angeben musste. Das hat irgendwie nicht so gut geklappt wie bei den Personen, die man auswählen konnte bei Ich fahre im Auto mit. Da konnte ich das anklicken, dann hat sich das Fenster geschlossen und dann war das super. Bei dem anderen konnte ich zwar auswählen und anklicken, aber kam überhaupt nicht gut irgendwie wieder zurück ins Menü. Also irgendwie hat er dann immer gehakt und sich aufgehangen, dann einfach komplett rausgeklickt wieder und dann waren die Sachen trotzdem gespeichert. Aber vielleicht guckst du da nur nochmal oder ihr, dass es vielleicht so ist wie bei zum Beispiel mit Auto, bei wem fahre ich mit? Das lief perfekt und ich hatte noch, das kann aber auch an </x:v>
      </x:c>
      <x:c r="D72" s="21"/>
      <x:c r="E72" s="21"/>
      <x:c r="F72" s="21"/>
    </x:row>
    <x:row r="73" ht="165" customHeight="1">
      <x:c r="A73" s="21" t="str">
        <x:v>Feedback Whatsapp.txt</x:v>
      </x:c>
      <x:c r="B73" s="21" t="str">
        <x:v>Abschnitt 12 · Teil 2</x:v>
      </x:c>
      <x:c r="C73" s="21" t="str">
        <x:v>meiner Handhabung vor dem ersten Kaffee gewesen sein, dass ich erst alles ausfüllen wollte, bevor ich speichere. heißt ich habe erst Anreise ausgefüllt und habe dann Unterkunft ausgefüllt und habe dann, nachdem ich Unterkunft ausgefüllt hatte und da auf dem Button Speichern gedrückt habe, festgestellt, dass Anreise oben dann nicht gespeichert war. Vielleicht kann man da entweder über den Button nochmal einen kleinen Satz machen, wie Mensch, jetzt hier speichern, es gehen die Angaben verloren oder man schreibt es in die, wenn man den Link versendet, das ist jetzt kein Muss. Aber das sind die beiden Sachen, die mir aufgefallen sind. Ansonsten finde ich es echt mega geil. Auch die Startseite mit den ganzen Infos und so. Testfrage habe ich dann auch geschickt. Ich weiß nicht, ob die angekommen</x:v>
      </x:c>
      <x:c r="D73" s="21"/>
      <x:c r="E73" s="21"/>
      <x:c r="F73" s="21"/>
    </x:row>
    <x:row r="74" ht="114" customHeight="1">
      <x:c r="A74" s="21" t="str">
        <x:v>Feedback Whatsapp.txt</x:v>
      </x:c>
      <x:c r="B74" s="21" t="str">
        <x:v>Abschnitt 12 · Teil 3</x:v>
      </x:c>
      <x:c r="C74" s="21" t="str">
        <x:v> ist. Jetzt hatte ich mir das Feedback geschrieben, dass ich die nicht gefunden habe. Aber das hing mit meinem nach dem Aufwachen gleich machen zusammen. Ja, so das. Sorry, dass es dann jetzt nicht über die andere Schleife ist. Ich hoffe, es passt so. Aber ansonsten würde ich es jetzt erst wahrscheinlich später, wesentlich später schaffen, dann nochmal reinzugehen und das Feedback schriftlich zu geben. Ich hoffe, das passt so und lieben Dank. Ich finde es richtig geil. Schönes Wochenende.</x:v>
      </x:c>
      <x:c r="D74" s="21"/>
      <x:c r="E74" s="21"/>
      <x:c r="F74" s="21"/>
    </x:row>
    <x:row r="75" ht="165" customHeight="1">
      <x:c r="A75" s="21" t="str">
        <x:v>Feedback Whatsapp.txt</x:v>
      </x:c>
      <x:c r="B75" s="21" t="str">
        <x:v>Abschnitt 13 · Teil 1</x:v>
      </x:c>
      <x:c r="C75" s="21" t="str">
        <x:v>Daniel  •  00:00
Du kannst mir immer noch schnell eine Frage beantworten und zwar ob du die Einstellung sich angeben kann mit wem ich auf dem Zimmer bin und in welchem Hotel sinnvoll ist. Den habe ich nur aus folgenden Gedanken erstellt: Es wird dann später eine Übersicht sein, in dem wir alle sehen können, wer in welchem Hotel, in welchem Zimmer mit wem schläft. Ich war letztes Jahr Co-Parte für Cottbus. Die waren auf zwei Hotels verteilt und die hatten schon Anstrengungen sich zu so ein bisschen zu organisieren und herauszufinden, wo wer schläft. Und das hat am Anfang des Tages bei, wo man sich trifft und wie man sich trifft, irgendwie ein bisschen für Reibereien gesorgt. Es ging dann noch alles zwar schnell zu regeln, aber ich dachte mir, das waren ja nur der Kneipenkopf und das Cottbus</x:v>
      </x:c>
      <x:c r="D75" s="21"/>
      <x:c r="E75" s="21"/>
      <x:c r="F75" s="21"/>
    </x:row>
    <x:row r="76" ht="80" customHeight="1">
      <x:c r="A76" s="21" t="str">
        <x:v>Feedback Whatsapp.txt</x:v>
      </x:c>
      <x:c r="B76" s="21" t="str">
        <x:v>Abschnitt 13 · Teil 2</x:v>
      </x:c>
      <x:c r="C76" s="21" t="str">
        <x:v> waren nicht so viele wie wir. Und es waren ja nur zwei Hotels. Wie ist denn das jetzt, wie hier in dem Beispiel, in dem mehrere Hotels ja dann auch zur Auswahl stehen. Deswegen dachte ich, es würde uns dann vielleicht irgendwie Absprachen erleichtern, wenn jeder sofort sehen kann, welchem Hotel jeder ist.</x:v>
      </x:c>
      <x:c r="D76" s="21"/>
      <x:c r="E76" s="21"/>
      <x:c r="F76" s="21"/>
    </x:row>
    <x:row r="77" ht="165" customHeight="1">
      <x:c r="A77" s="21" t="str">
        <x:v>Feedback Whatsapp.txt</x:v>
      </x:c>
      <x:c r="B77" s="21" t="str">
        <x:v>Abschnitt 14 · Teil 1</x:v>
      </x:c>
      <x:c r="C77" s="21" t="str">
        <x:v>Ella  •  00:00
ja also ich finde es nicht total zwingend notwendig weil ich glaube unterm strich wieder absprechen bei wem uns wie treffen aber für den überblick ist es schon nicht verkehrt also ich gerade diese geile abfrage e baut dass man echt wissen kann wer es wo wenn es irgendwie relevant ist und auch um zu sehen dass irgendwie alle untergekommen sind dann am ende also ich finde kann man kann man drin lassen ich überlege jetzt nur sorry ich denke jetzt beim reden Also bei uns ist es zum Beispiel so, wir haben ein Sechserzimmer gebucht. Also alle sechs Leute von uns füllen halt immer die jeweiligen anderen fünf Personen aus. Weißt du, wie ich meine? Ob man das dann braucht? Aber andere sind ja auch vielleicht nur zu zweit. Also ja, da bin ich ein bisschen leidenschaftslos jetzt, um eh</x:v>
      </x:c>
      <x:c r="D77" s="21"/>
      <x:c r="E77" s="21"/>
      <x:c r="F77" s="21"/>
    </x:row>
    <x:row r="78" ht="46" customHeight="1">
      <x:c r="A78" s="21" t="str">
        <x:v>Feedback Whatsapp.txt</x:v>
      </x:c>
      <x:c r="B78" s="21" t="str">
        <x:v>Abschnitt 14 · Teil 2</x:v>
      </x:c>
      <x:c r="C78" s="21" t="str">
        <x:v>rlich zu sein. Wenn es drin ist, ist cool, aber es wäre jetzt für mich auch kein Muss. So meine Resonanz.</x:v>
      </x:c>
      <x:c r="D78" s="21"/>
      <x:c r="E78" s="21"/>
      <x:c r="F78" s="21"/>
    </x:row>
    <x:row r="79" ht="114" customHeight="1">
      <x:c r="A79" s="21" t="str">
        <x:v>Feedback Whatsapp.txt</x:v>
      </x:c>
      <x:c r="B79" s="21" t="str">
        <x:v>Abschnitt 15</x:v>
      </x:c>
      <x:c r="C79" s="21" t="str">
        <x:v>Ella  •  00:00
Zumal mir gerade auffällt, ich weiß ja nicht, ob man daraus dann einen Ausdruck erstellt am Ende. Unterm Strich gebe ich ja auch an, in welcher Unterkunft ich bin. Und ich glaube, eigentlich wäre es ja auch ausreichend, dann zu sehen, wer ist in welcher Unterkunft. Ob ich jetzt nun mit A, B im Zimmer bin oder C, D, ist dann eigentlich wurscht. Vielleicht würde das ja schon doch auch als Angabe ausreichen, wer ist in welchem Hotel, um genau diesen Effekt zu haben, den du beschrieben hast.</x:v>
      </x:c>
      <x:c r="D79" s="21"/>
      <x:c r="E79" s="21"/>
      <x:c r="F79" s="21"/>
    </x:row>
    <x:row r="80" ht="114" customHeight="1">
      <x:c r="A80" s="21" t="str">
        <x:v>Feedback Whatsapp.txt</x:v>
      </x:c>
      <x:c r="B80" s="21" t="str">
        <x:v>Abschnitt 16</x:v>
      </x:c>
      <x:c r="C80" s="21" t="str">
        <x:v>Ella  •  00:00
So, jetzt fällt mir gerade ein, vielleicht wäre da die Abfrage sinnvoller, so wie du sie oben beim Autofahren hast, zum Beispiel auch beim Mitfahren. Ist noch ein Platz bei uns im Zimmer frei? Weil ich sag mal unterm Strich, das ist ja eine Info, die relevant ist. Wenn jemand noch ein Zimmer sucht und ein Platz frei ist, dass man eher das abfragt, anstatt mit wem man drin ist. Das war jetzt noch eine Eingebung, die mir gerade kam. Sorry für die ganzen gestückelten Sprachnotizen.</x:v>
      </x:c>
      <x:c r="D80" s="21"/>
      <x:c r="E80" s="21"/>
      <x:c r="F80" s="21"/>
    </x:row>
    <x:row r="81" ht="29" customHeight="1">
      <x:c r="A81" s="21" t="str">
        <x:v>Feedback Whatsapp.txt</x:v>
      </x:c>
      <x:c r="B81" s="21" t="str">
        <x:v>Abschnitt 17</x:v>
      </x:c>
      <x:c r="C81" s="21" t="str">
        <x:v>Jules</x:v>
      </x:c>
      <x:c r="D81" s="21"/>
      <x:c r="E81" s="21"/>
      <x:c r="F81" s="21"/>
    </x:row>
    <x:row r="82" ht="97" customHeight="1">
      <x:c r="A82" s="21" t="str">
        <x:v>Feedback Whatsapp.txt</x:v>
      </x:c>
      <x:c r="B82" s="21" t="str">
        <x:v>Abschnitt 18</x:v>
      </x:c>
      <x:c r="C82" s="21" t="str">
        <x:v>[17.10.26, 09:20:56] Jules: Testfrage konnte ich nicht schicken, weil ich nicht wusste, wo.
[17.10.26, 09:24:06] D: Danke ich schau es mir an
[17.10.26, 10:32:00] D: Sah das, wenn du auf Frage und Antwort geklickt hast auch erst so aus? Warte…
[17.10.26, 10:36:00] Jules: So weit runter hab ich gar nicht gescrollt. Die Übersichtsseite ist mir persönlich viel zu voll gepackt.</x:v>
      </x:c>
      <x:c r="D82" s="21"/>
      <x:c r="E82" s="21"/>
      <x:c r="F82" s="21"/>
    </x:row>
    <x:row r="83" ht="29" customHeight="1">
      <x:c r="A83" s="21" t="str">
        <x:v>Feedback Whatsapp.txt</x:v>
      </x:c>
      <x:c r="B83" s="21" t="str">
        <x:v>Abschnitt 19</x:v>
      </x:c>
      <x:c r="C83" s="21" t="str">
        <x:v>Martin</x:v>
      </x:c>
      <x:c r="D83" s="21"/>
      <x:c r="E83" s="21"/>
      <x:c r="F83" s="21"/>
    </x:row>
    <x:row r="84" ht="97" customHeight="1">
      <x:c r="A84" s="21" t="str">
        <x:v>Feedback Whatsapp.txt</x:v>
      </x:c>
      <x:c r="B84" s="21" t="str">
        <x:v>Abschnitt 20</x:v>
      </x:c>
      <x:c r="C84" s="21" t="str">
        <x:v>[17.10.26, 09:43:09] D: hättest du zufällig so 1-2 Beispiele, wo zu viel text ist? 🙂
[17.10.26, 09:43:44] D: 1:40 hast du das gemacht?! schläfst du auch? ^^
[17.10.26, 19:14:44] Wortspiel Martin Pkc: Die Übersichtsseite. 
Unser gemeinsamer Ort für die Planung des Kneipenchorfestivals 2027. Hier sammeln wir verlässliche Infos, offene Fragen und alles rund um unser Wochenende.</x:v>
      </x:c>
      <x:c r="D84" s="21"/>
      <x:c r="E84" s="21"/>
      <x:c r="F84" s="21"/>
    </x:row>
    <x:row r="85" ht="165" customHeight="1">
      <x:c r="A85" s="21" t="str">
        <x:v>Feedback Whatsapp.txt</x:v>
      </x:c>
      <x:c r="B85" s="21" t="str">
        <x:v>Abschnitt 21 · Teil 1</x:v>
      </x:c>
      <x:c r="C85" s="21" t="str">
        <x:v>Ein Wochenende voller
Musik &amp; Kneipenchorliebe.
[17.10.26, 19:16:14] Wortspiel Martin Pkc: Da oben muss eigentlich nur der Ablaufplan das Wochenendes stehen und Links zu dem was man noch ausfüllen muss
[17.10.26, 19:17:47] Wortspiel Martin Pkc: Möglichst wenig blabla. Das liest keiner.
[17.10.26, 19:19:38] Wortspiel Martin Pkc: was ist mit „Nachrichten“ gemeint?
[17.10.26, 19:23:04] Wortspiel Martin Pkc: Und ist das echt?
https://pkc-wuerzburg-test.lemonytulip6.chatgpt.site/api/data?file=kontingente
Gab es das Dokument sonst mal irgendwo? Wusste nicht dass wir im Babelfisch Kontingent haben
[17.10.26, 20:31:05] D: die angebote sind alle echt und eig schon in der hauptgruppe mal von jules kommuniziert gewesen ^^
[17.10.26, 20:31:34] D: deswegen will ich aber auch so schnell wie möglich das </x:v>
      </x:c>
      <x:c r="D85" s="21"/>
      <x:c r="E85" s="21"/>
      <x:c r="F85" s="21"/>
    </x:row>
    <x:row r="86" ht="29" customHeight="1">
      <x:c r="A86" s="21" t="str">
        <x:v>Feedback Whatsapp.txt</x:v>
      </x:c>
      <x:c r="B86" s="21" t="str">
        <x:v>Abschnitt 21 · Teil 2</x:v>
      </x:c>
      <x:c r="C86" s="21" t="str">
        <x:v>wiki online kriegen ^^
[17.10.26, 20:31:53] Wortspiel Martin Pkc: News aus Würzburg</x:v>
      </x:c>
      <x:c r="D86" s="21"/>
      <x:c r="E86" s="21"/>
      <x:c r="F86" s="21"/>
    </x:row>
    <x:row r="87" ht="29" customHeight="1">
      <x:c r="A87" s="21" t="str">
        <x:v>Feedback Whatsapp.txt</x:v>
      </x:c>
      <x:c r="B87" s="21" t="str">
        <x:v>Abschnitt 22</x:v>
      </x:c>
      <x:c r="C87" s="21" t="str">
        <x:v>Bei drei weiteren Hotels bekommen wir Sonderpreise für das Festival:</x:v>
      </x:c>
      <x:c r="D87" s="21"/>
      <x:c r="E87" s="21"/>
      <x:c r="F87" s="21"/>
    </x:row>
    <x:row r="88" ht="29" customHeight="1">
      <x:c r="A88" s="21" t="str">
        <x:v>Feedback Whatsapp.txt</x:v>
      </x:c>
      <x:c r="B88" s="21" t="str">
        <x:v>Abschnitt 23</x:v>
      </x:c>
      <x:c r="C88" s="21" t="str">
        <x:v>Moxy: Abrufbar bis 23.04.27, 40x EZ/DZ inkl. Frühstück für 149,00€/164,00€ pro Nacht</x:v>
      </x:c>
      <x:c r="D88" s="21"/>
      <x:c r="E88" s="21"/>
      <x:c r="F88" s="21"/>
    </x:row>
    <x:row r="89" ht="29" customHeight="1">
      <x:c r="A89" s="21" t="str">
        <x:v>Feedback Whatsapp.txt</x:v>
      </x:c>
      <x:c r="B89" s="21" t="str">
        <x:v>Abschnitt 24</x:v>
      </x:c>
      <x:c r="C89" s="21" t="str">
        <x:v>AC Hotel: Abrufbar bis 23.04.27, 40x EZ/DZ inkl. Frühstück, 169,00€/187,00€ pro Nacht</x:v>
      </x:c>
      <x:c r="D89" s="21"/>
      <x:c r="E89" s="21"/>
      <x:c r="F89" s="21"/>
    </x:row>
    <x:row r="90" ht="63" customHeight="1">
      <x:c r="A90" s="21" t="str">
        <x:v>Feedback Whatsapp.txt</x:v>
      </x:c>
      <x:c r="B90" s="21" t="str">
        <x:v>Abschnitt 25</x:v>
      </x:c>
      <x:c r="C90" s="21" t="str">
        <x:v>Buchung beider Hotels über den folgenden Link: 
https://www.marriott.com/de/event-reservations/reservation-link.mi?id=1790854157309&amp;key=GRP&amp;app=resvlink&amp;_p=c11c32dc9a016ceee01c87e3edb4</x:v>
      </x:c>
      <x:c r="D90" s="21"/>
      <x:c r="E90" s="21"/>
      <x:c r="F90" s="21"/>
    </x:row>
    <x:row r="91" ht="131" customHeight="1">
      <x:c r="A91" s="21" t="str">
        <x:v>Feedback Whatsapp.txt</x:v>
      </x:c>
      <x:c r="B91" s="21" t="str">
        <x:v>Abschnitt 26</x:v>
      </x:c>
      <x:c r="C91" s="21" t="str">
        <x:v>Mehr lesen
[17.10.26, 20:31:53] Wortspiel Martin Pkc: Dann war die Nachricht nicht vollständig
[17.10.26, 20:32:42] D: ah oki interessant. ich hab nur gesehen, dass jules was geschrieben hat und ich hab die mail von würzburg gesehen... ich hab nicht gesehen, ob jules alles wiedergegeben hat ^^
[18.10.26, 10:40:16] D: Mit „Nachrichten“ sind persönliche Benachrichtigungen innerhalb der Seite gemeint, z. B. wenn du als Zimmerpartner eingetragen wirst oder die Orga eine Neuigkeit zur Benachrichtigung freigibt… kein eigener Chat 😊 Später soll das auch über den bestehenden Mailversand der App laufen.</x:v>
      </x:c>
      <x:c r="D91" s="21"/>
      <x:c r="E91" s="21"/>
      <x:c r="F91" s="21"/>
    </x:row>
    <x:row r="92" ht="29" customHeight="1">
      <x:c r="A92" s="21" t="str">
        <x:v>Feedback Whatsapp.txt</x:v>
      </x:c>
      <x:c r="B92" s="21" t="str">
        <x:v>Abschnitt 27</x:v>
      </x:c>
      <x:c r="C92" s="21" t="str">
        <x:v>Katzelbert</x:v>
      </x:c>
      <x:c r="D92" s="21"/>
      <x:c r="E92" s="21"/>
      <x:c r="F92" s="21"/>
    </x:row>
    <x:row r="93" ht="97" customHeight="1">
      <x:c r="A93" s="21" t="str">
        <x:v>Feedback Whatsapp.txt</x:v>
      </x:c>
      <x:c r="B93" s="21" t="str">
        <x:v>Abschnitt 28</x:v>
      </x:c>
      <x:c r="C93" s="21" t="str">
        <x:v>[18.10.26, 13:37:08] D: Hast du ein Feedback geschrieben?
[18.10.26, 13:38:08] ~Kathy: Wo kann ich das?
[18.10.26, 13:38:24] ~Kathy: Ich hab jetzt erst mal alles gespeichert
[18.10.26, 13:39:08] D: unter „Test-Feedback“
[18.10.26, 13:39:29] D: du kannst aber mir auch gern hier feedback schreiben oder ne audio machen 🙂
[18.10.26, 13:41:30] ~Kathy: •⁠  ⁠Super einfach und intuitiv in der Bedienung.</x:v>
      </x:c>
      <x:c r="D93" s="21"/>
      <x:c r="E93" s="21"/>
      <x:c r="F93" s="21"/>
    </x:row>
    <x:row r="94" ht="29" customHeight="1">
      <x:c r="A94" s="21" t="str">
        <x:v>Feedback Whatsapp.txt</x:v>
      </x:c>
      <x:c r="B94" s="21" t="str">
        <x:v>Abschnitt 29</x:v>
      </x:c>
      <x:c r="C94" s="21" t="str">
        <x:v>•⁠  ⁠Die Übersicht "Wer ist wo" find ich auch cool zum connecten.</x:v>
      </x:c>
      <x:c r="D94" s="21"/>
      <x:c r="E94" s="21"/>
      <x:c r="F94" s="21"/>
    </x:row>
    <x:row r="95" ht="29" customHeight="1">
      <x:c r="A95" s="21" t="str">
        <x:v>Feedback Whatsapp.txt</x:v>
      </x:c>
      <x:c r="B95" s="21" t="str">
        <x:v>Abschnitt 30</x:v>
      </x:c>
      <x:c r="C95" s="21" t="str">
        <x:v>•⁠  ⁠Man weiß um was es in den verschiedenen Reitern geht.</x:v>
      </x:c>
      <x:c r="D95" s="21"/>
      <x:c r="E95" s="21"/>
      <x:c r="F95" s="21"/>
    </x:row>
    <x:row r="96" ht="29" customHeight="1">
      <x:c r="A96" s="21" t="str">
        <x:v>Feedback Whatsapp.txt</x:v>
      </x:c>
      <x:c r="B96" s="21" t="str">
        <x:v>Abschnitt 31</x:v>
      </x:c>
      <x:c r="C96" s="21" t="str">
        <x:v>•⁠  ⁠Auswahl der Reisemöglichkeiten sind klar und vielseitig wählbar.</x:v>
      </x:c>
      <x:c r="D96" s="21"/>
      <x:c r="E96" s="21"/>
      <x:c r="F96" s="21"/>
    </x:row>
    <x:row r="97" ht="29" customHeight="1">
      <x:c r="A97" s="21" t="str">
        <x:v>Feedback Whatsapp.txt</x:v>
      </x:c>
      <x:c r="B97" s="21" t="str">
        <x:v>Abschnitt 32</x:v>
      </x:c>
      <x:c r="C97" s="21" t="str">
        <x:v>Alles in allem, coole Sache!
[18.10.26, 13:43:23] D: Uh danke… ❤️</x:v>
      </x:c>
      <x:c r="D97" s="21"/>
      <x:c r="E97" s="21"/>
      <x:c r="F97" s="21"/>
    </x:row>
    <x:row r="98" ht="63" customHeight="1">
      <x:c r="A98" s="21" t="str">
        <x:v>Feedback Whatsapp.txt</x:v>
      </x:c>
      <x:c r="B98" s="21" t="str">
        <x:v>Abschnitt 33</x:v>
      </x:c>
      <x:c r="C98" s="21" t="str">
        <x:v>Gibts auch Kritik? ^^ wenn nicht muss Du dir auch nichts aus den Fingern ziehen, aber falls ja ist das ne gute Gelegenheit das noch mit einbringen zu können :)
[18.10.26, 13:44:31] ~Kathy: Nö... ich hab nichts zu bemängeln. Mir hat nichts gefehlt</x:v>
      </x:c>
      <x:c r="D98" s="21"/>
      <x:c r="E98" s="21"/>
      <x:c r="F98" s="21"/>
    </x:row>
    <x:row r="99" ht="29" customHeight="1">
      <x:c r="A99" s="21" t="str">
        <x:v>Feedback Whatsapp.txt</x:v>
      </x:c>
      <x:c r="B99" s="21" t="str">
        <x:v>Abschnitt 34</x:v>
      </x:c>
      <x:c r="C99" s="21" t="str">
        <x:v>Anna</x:v>
      </x:c>
      <x:c r="D99" s="21"/>
      <x:c r="E99" s="21"/>
      <x:c r="F99" s="21"/>
    </x:row>
    <x:row r="100" ht="46" customHeight="1">
      <x:c r="A100" s="21" t="str">
        <x:v>Feedback Whatsapp.txt</x:v>
      </x:c>
      <x:c r="B100" s="21" t="str">
        <x:v>Abschnitt 35</x:v>
      </x:c>
      <x:c r="C100" s="21" t="str">
        <x:v>Hab bissl was eingetragen 
Den Reiter mit fragen und Antworten hab ich nicht direkt gefunden 😎
Cool, an was du da bastelst ☺️</x:v>
      </x:c>
      <x:c r="D100" s="21"/>
      <x:c r="E100" s="21"/>
      <x:c r="F100" s="21"/>
    </x:row>
    <x:row r="101" ht="29" customHeight="1">
      <x:c r="A101" s="21" t="str">
        <x:v>Feedback Whatsapp.txt</x:v>
      </x:c>
      <x:c r="B101" s="21" t="str">
        <x:v>Abschnitt 36</x:v>
      </x:c>
      <x:c r="C101" s="21" t="str">
        <x:v>Anja</x:v>
      </x:c>
      <x:c r="D101" s="21"/>
      <x:c r="E101" s="21"/>
      <x:c r="F101" s="21"/>
    </x:row>
    <x:row r="102" ht="165" customHeight="1">
      <x:c r="A102" s="21" t="str">
        <x:v>Feedback Whatsapp.txt</x:v>
      </x:c>
      <x:c r="B102" s="21" t="str">
        <x:v>Abschnitt 37 · Teil 1</x:v>
      </x:c>
      <x:c r="C102" s="21" t="str">
        <x:v>Anja  •  00:01
Also erst mal, wie geil ist das bitte? Also ich finde es mega. Ich hatte jetzt nur ein bisschen Schwierigkeiten, auf den ersten Blick zurecht zu kommen. Also ich musste mich schon so ein bisschen mal ein bisschen rumklicken und so und dann sind da doch relativ viele Informationen. Man weiß nicht so richtig, wo kann ich jetzt was ausfüllen, wo muss ich nichts ausfüllen. Aber vielleicht muss ich, also hätte ich mich auch einfach nur ein bisschen besser einlesen sollen. Also ich finde, das einzige, wenn man was bemängeln könnte, dann wäre das wirklich so ein bisschen noch die die Übersichtlichkeit, dass es einen Ticken einfacher ist und ein bisschen klarer. Aber ansonsten war es ja jetzt sehr, sehr entspannt und sehr übersichtlich. Ich glaube, wenn man dennoch seinen Zimmernach</x:v>
      </x:c>
      <x:c r="D102" s="21"/>
      <x:c r="E102" s="21"/>
      <x:c r="F102" s="21"/>
    </x:row>
    <x:row r="103" ht="80" customHeight="1">
      <x:c r="A103" s="21" t="str">
        <x:v>Feedback Whatsapp.txt</x:v>
      </x:c>
      <x:c r="B103" s="21" t="str">
        <x:v>Abschnitt 37 · Teil 2</x:v>
      </x:c>
      <x:c r="C103" s="21" t="str">
        <x:v>barn hat und dann die anderen Funktionen quasi freigeschalten sind mit Chat und so weiter, dann ist das natürlich auch noch mal was anderes. Ich denke mal beim Programm und so wird bestimmt auch noch ein bisschen was gefüllt werden. Aber ansonsten war es easy. Also super.</x:v>
      </x:c>
      <x:c r="D103" s="21"/>
      <x:c r="E103" s="21"/>
      <x:c r="F103" s="21"/>
    </x:row>
    <x:row r="104" ht="26" customHeight="1">
      <x:c r="A104" s="21"/>
      <x:c r="B104" s="21"/>
      <x:c r="C104" s="21"/>
      <x:c r="D104" s="21"/>
      <x:c r="E104" s="21"/>
      <x:c r="F104" s="21"/>
    </x:row>
    <x:row r="105" ht="46" customHeight="1">
      <x:c r="A105" s="39" t="str">
        <x:v>S · Kommentare auf den Screenshots</x:v>
      </x:c>
      <x:c r="B105" s="39"/>
      <x:c r="C105" s="39"/>
      <x:c r="D105" s="39"/>
      <x:c r="E105" s="39"/>
      <x:c r="F105" s="39"/>
    </x:row>
    <x:row r="106" ht="29" customHeight="1">
      <x:c r="A106" s="21" t="str">
        <x:v>Quelle</x:v>
      </x:c>
      <x:c r="B106" s="21" t="str">
        <x:v>Teilnehmer</x:v>
      </x:c>
      <x:c r="C106" s="21" t="str">
        <x:v>Wortlaut</x:v>
      </x:c>
      <x:c r="D106" s="21"/>
      <x:c r="E106" s="21"/>
      <x:c r="F106" s="21"/>
    </x:row>
    <x:row r="107" ht="114" customHeight="1">
      <x:c r="A107" s="21" t="str">
        <x:v>S1 · Bildschirmfoto 2026-10-19 um 00.50.09.png</x:v>
      </x:c>
      <x:c r="B107" s="21" t="str">
        <x:v>P07 · Mäc</x:v>
      </x:c>
      <x:c r="C107" s="21" t="str">
        <x:v>Und das finde ich irritierend: obwohl ich Eingaben gemacht und gespeichert habe, heißt der Button „Anreise bzw. Unterkunft speichern“. Bei „Unterkunft“ gib‘s wenigstens noch einen grünen Hinweis „… wurde gespeichert“, bei Anreise nicht. Das verunsichert und verführt zum nochmaligen Ausfüllen. Insgesamt atmet das Formular den Anspruch auf Perfektion und ist dadurch recht umfangreich. Einige Leute werden dadurch abgeschreckt. Weniger könnte mehr sein…</x:v>
      </x:c>
      <x:c r="D107" s="21"/>
      <x:c r="E107" s="21"/>
      <x:c r="F107" s="21"/>
    </x:row>
    <x:row r="108" ht="46" customHeight="1">
      <x:c r="A108" s="21" t="str">
        <x:v>S2 · Bildschirmfoto 2026-10-19 um 00.49.50.png</x:v>
      </x:c>
      <x:c r="B108" s="21" t="str">
        <x:v>P07 · Mäc</x:v>
      </x:c>
      <x:c r="C108" s="21" t="str">
        <x:v>Das Formular endet für mich so… Es gibt keinen „Abschicken“-Button o.ä.</x:v>
      </x:c>
      <x:c r="D108" s="21"/>
      <x:c r="E108" s="21"/>
      <x:c r="F108" s="21"/>
    </x:row>
    <x:row r="109" ht="26" customHeight="1">
      <x:c r="A109" s="21"/>
      <x:c r="B109" s="21"/>
      <x:c r="C109" s="21"/>
      <x:c r="D109" s="21"/>
      <x:c r="E109" s="21"/>
      <x:c r="F109" s="21"/>
    </x:row>
    <x:row r="110" ht="29" customHeight="1">
      <x:c r="A110" s="21" t="str">
        <x:v>Datengrundlage</x:v>
      </x:c>
      <x:c r="B110" s="21" t="str">
        <x:v>Herkunft</x:v>
      </x:c>
      <x:c r="C110" s="21" t="str">
        <x:v>Abgrenzung</x:v>
      </x:c>
      <x:c r="D110" s="21"/>
      <x:c r="E110" s="21"/>
      <x:c r="F110" s="21"/>
    </x:row>
    <x:row r="111" ht="80" customHeight="1">
      <x:c r="A111" s="21" t="str">
        <x:v>W / Q / Namen</x:v>
      </x:c>
      <x:c r="B111" s="21" t="str">
        <x:v>Live-Datenbank der Testseite, Tabellen test_feedback, questions und members; gelesen am 19.10.2026</x:v>
      </x:c>
      <x:c r="C111" s="21" t="str">
        <x:v>Nur Lesezugriff. Keine Testangaben verändert. Keine Zimmer-/Anreise-Testwerte als echte Buchung interpretieren.</x:v>
      </x:c>
      <x:c r="D111" s="21"/>
      <x:c r="E111" s="21"/>
      <x:c r="F111" s="21"/>
    </x:row>
    <x:row r="112" ht="46" customHeight="1">
      <x:c r="A112" s="21" t="str">
        <x:v>Vorlage</x:v>
      </x:c>
      <x:c r="B112" s="21" t="str">
        <x:v>auswertung_template_usability_test-3.xlsx</x:v>
      </x:c>
      <x:c r="C112" s="21" t="str">
        <x:v>Abschnitte und Schweregrad-Definitionen übernommen; Beispiel-Suchproblem ersetzt, Platz für 22 Sitzungen erweitert.</x:v>
      </x:c>
      <x:c r="D112" s="21"/>
      <x:c r="E112" s="21"/>
      <x:c r="F112" s="21"/>
    </x:row>
    <x:row r="113" ht="46" customHeight="1">
      <x:c r="A113" s="21" t="str">
        <x:v>Zeitangaben</x:v>
      </x:c>
      <x:c r="B113" s="21" t="str">
        <x:v>UTC in Rohdaten; Berlin = UTC+2 an diesen Tagen</x:v>
      </x:c>
      <x:c r="C113" s="21" t="str">
        <x:v>Keine Bearbeitungsdauer aus Aktualisierungszeit ableiten.</x:v>
      </x:c>
      <x:c r="D113" s="21"/>
      <x:c r="E113" s="21"/>
      <x:c r="F113" s="21"/>
    </x:row>
  </x:sheetData>
  <x:mergeCells>
    <x:mergeCell ref="A1:F1"/>
    <x:mergeCell ref="A2:F2"/>
  </x:mergeCells>
  <x:pageMargins left="0.7" right="0.7" top="0.75" bottom="0.75" header="0.3" footer="0.3"/>
</x:worksheet>
</file>

<file path=xl/worksheets/sheet3.xml><?xml version="1.0" encoding="utf-8"?>
<x:worksheet xmlns:x="http://schemas.openxmlformats.org/spreadsheetml/2006/main">
  <x:sheetViews>
    <x:sheetView showGridLines="0" workbookViewId="0">
      <x:pane ySplit="3" topLeftCell="A4" activePane="bottomLeft" state="frozen"/>
    </x:sheetView>
  </x:sheetViews>
  <x:sheetFormatPr defaultRowHeight="15"/>
  <x:cols>
    <x:col min="1" max="1" width="58" hidden="0" customWidth="1"/>
    <x:col min="2" max="2" width="48" hidden="0" customWidth="1"/>
    <x:col min="3" max="3" width="95" hidden="0" customWidth="1"/>
    <x:col min="4" max="4" width="80" hidden="0" customWidth="1"/>
  </x:cols>
  <x:sheetData>
    <x:row r="1" ht="29" customHeight="1">
      <x:c r="A1" s="39" t="str">
        <x:v>Kursbezug für spätere Entscheidungen</x:v>
      </x:c>
      <x:c r="B1" s="39"/>
      <x:c r="C1" s="39"/>
      <x:c r="D1" s="39"/>
    </x:row>
    <x:row r="2" ht="32" customHeight="1">
      <x:c r="A2" s="21" t="str">
        <x:v>Noch keine Umsetzung: Befunde dienen als Grundlage für gemeinsame Auswahl und Nachtest.</x:v>
      </x:c>
      <x:c r="B2" s="21"/>
      <x:c r="C2" s="21"/>
      <x:c r="D2" s="21"/>
    </x:row>
    <x:row r="3" ht="29" customHeight="1">
      <x:c r="A3" s="41" t="str">
        <x:v>Material / Bezug</x:v>
      </x:c>
      <x:c r="B3" s="41" t="str">
        <x:v>Passende Befunde</x:v>
      </x:c>
      <x:c r="C3" s="41" t="str">
        <x:v>Spätere Prüffrage / Vorschlag</x:v>
      </x:c>
      <x:c r="D3" s="41" t="str">
        <x:v>Nachweis im erneuten Test</x:v>
      </x:c>
    </x:row>
    <x:row r="4" ht="46" customHeight="1">
      <x:c r="A4" s="21" t="str">
        <x:v>usability_richtlinien_tool.xlsx · Bewertung 1.1/1.2, 3.1, 3.3</x:v>
      </x:c>
      <x:c r="B4" s="21" t="str">
        <x:v>3–6: Speichern, Status, Abschluss, Auswahl</x:v>
      </x:c>
      <x:c r="C4" s="21" t="str">
        <x:v>Speichern und offen/erledigt verständlich kennzeichnen; Entwürfe beim Abschnittswechsel erhalten; Schließen der Partnerauswahl prüfen. Keine alleinige Farbcodierung.</x:v>
      </x:c>
      <x:c r="D4" s="21" t="str">
        <x:v>Anreise und Unterkunft nacheinander bearbeiten, nur einen Bereich speichern, wechseln und neu laden. Testperson erklärt korrekt, was gespeichert ist.</x:v>
      </x:c>
    </x:row>
    <x:row r="5" ht="46" customHeight="1">
      <x:c r="A5" s="21" t="str">
        <x:v>usability_richtlinien_tool.xlsx · 5.1/5.2, 9.2, 10.1–10.3, 12.1</x:v>
      </x:c>
      <x:c r="B5" s="21" t="str">
        <x:v>1, 2, 7, 8, 14: Auffindbarkeit und Übersicht</x:v>
      </x:c>
      <x:c r="C5" s="21" t="str">
        <x:v>Hauptaufgaben sichtbar priorisieren; Fragen/Kontakt und mobile Navigation ohne versteckte Scrollannahme prüfen.</x:v>
      </x:c>
      <x:c r="D5" s="21" t="str">
        <x:v>Ohne Hinweis zum FAQ oder Seitwärtsscrollen Frage und Feedback finden; Handy und PC getrennt beobachten.</x:v>
      </x:c>
    </x:row>
    <x:row r="6" ht="46" customHeight="1">
      <x:c r="A6" s="21" t="str">
        <x:v>usability_richtlinien_tool.xlsx · 2.2–2.4, 6.2/6.3</x:v>
      </x:c>
      <x:c r="B6" s="21" t="str">
        <x:v>9: Nachrichten / Chat-Erwartung</x:v>
      </x:c>
      <x:c r="C6" s="21" t="str">
        <x:v>Begriffe und Zweck erklären; Benachrichtigungen von Chat und Neuigkeiten unterscheiden.</x:v>
      </x:c>
      <x:c r="D6" s="21" t="str">
        <x:v>Vor dem Öffnen fragen, was unter dem Menüpunkt erwartet wird; anschließend tatsächlichen Zweck wiedergeben lassen.</x:v>
      </x:c>
    </x:row>
    <x:row r="7" ht="46" customHeight="1">
      <x:c r="A7" s="21" t="str">
        <x:v>wd1b_05_web_content.pdf · Folien 6–8, 18</x:v>
      </x:c>
      <x:c r="B7" s="21" t="str">
        <x:v>7, 12: Textmenge und Formulare</x:v>
      </x:c>
      <x:c r="C7" s="21" t="str">
        <x:v>Texte kürzen, aktiv formulieren, kurze Absätze, aussagekräftige Überschriften und knappe klare Buttons. Kürzung anhand von Nutzeraufgaben, keine wichtigen Bedingungen entfernen.</x:v>
      </x:c>
      <x:c r="D7" s="21" t="str">
        <x:v>Relevante Aktion/Frist ohne Durchlesen aller Einleitungstexte finden; Verständnis der Buchungsbedingungen erhalten.</x:v>
      </x:c>
    </x:row>
    <x:row r="8" ht="46" customHeight="1">
      <x:c r="A8" s="21" t="str">
        <x:v>wdb04_05_web-navigation.pdf · Folien 6–8, 16, 28–38, 46–63</x:v>
      </x:c>
      <x:c r="B8" s="21" t="str">
        <x:v>1, 2, 7–9: Struktur und Orientierung</x:v>
      </x:c>
      <x:c r="C8" s="21" t="str">
        <x:v>Inhalte/Navigation nach Aufgaben gruppieren, kontextuelle Links prüfen; konsistente Seitentypen.</x:v>
      </x:c>
      <x:c r="D8" s="21" t="str">
        <x:v>Teilnehmende erklären Übersicht vs. Planung vs. Wiki; mobile Navigation und Direktwege ohne Hilfestellung nutzen.</x:v>
      </x:c>
    </x:row>
    <x:row r="9" ht="46" customHeight="1">
      <x:c r="A9" s="21" t="str">
        <x:v>content_inventory_template_v3.xlsx · Content Inventory / Content Model</x:v>
      </x:c>
      <x:c r="B9" s="21" t="str">
        <x:v>7, 9, 10: Inhalte, Quellen, Neuigkeiten</x:v>
      </x:c>
      <x:c r="C9" s="21" t="str">
        <x:v>Später Inhalte mit Zielgruppe, Priorität, Quelle, Seitentyp und Status inventarisieren. News/Benachrichtigung/Hotelangebot sauber trennen.</x:v>
      </x:c>
      <x:c r="D9" s="21" t="str">
        <x:v>Zentrale Festivalinformation, aktuelle Quelle und Buchungsweg finden. Keine inhaltlichen Doppelungen ohne Zweck.</x:v>
      </x:c>
    </x:row>
    <x:row r="10" ht="46" customHeight="1">
      <x:c r="A10" s="21" t="str">
        <x:v>vorlage_usability_testbericht.pptx · Folien 2–14</x:v>
      </x:c>
      <x:c r="B10" s="21" t="str">
        <x:v>Gesamte Auswertung</x:v>
      </x:c>
      <x:c r="C10" s="21" t="str">
        <x:v>Später Bericht mit Ziel, Rekrutierung, Testsetting, Aufgaben, quantitativen Grenzen und belegten qualitativen Befunden. Positives und konkrete Beispiele aufnehmen.</x:v>
      </x:c>
      <x:c r="D10" s="21" t="str">
        <x:v>Pro Befund Wirkung, Evidenz, Häufigkeit und überprüfbare Empfehlung nachvollziehbar; keine erfundenen Task-Erfolgsquoten.</x:v>
      </x:c>
    </x:row>
    <x:row r="11" ht="46" customHeight="1">
      <x:c r="A11" s="21" t="str">
        <x:v>UEQS_Items-1.pdf / Short_UEQ_Data_Analysis_Tool_V13.xlsx</x:v>
      </x:c>
      <x:c r="B11" s="21" t="str">
        <x:v>Kein UEQ-S erhoben</x:v>
      </x:c>
      <x:c r="C11" s="21" t="str">
        <x:v>Acht UEQ-S-Items mit sieben Antwortstufen wären in einer neuen Befragung nötig. Vorliegende 1–5-Einzelfrage nicht umrechnen oder in UEQ-Tool eintragen.</x:v>
      </x:c>
      <x:c r="D11" s="21" t="str">
        <x:v>Falls gewünscht nächste Runde mit vollständigem standardisiertem UEQ-S; pragmatische und hedonische Skalen erst dann berechnen.</x:v>
      </x:c>
    </x:row>
    <x:row r="12" ht="29" customHeight="1">
      <x:c r="A12" s="21" t="str">
        <x:v>teco_text_dienstleistungen.docx</x:v>
      </x:c>
      <x:c r="B12" s="21" t="str">
        <x:v>Textübungsbeispiel aus dem Kurs</x:v>
      </x:c>
      <x:c r="C12" s="21" t="str">
        <x:v>Beispiel für spätere Textredaktion; kein Festivalinhalt und keine Anforderung an diese Website.</x:v>
      </x:c>
      <x:c r="D12" s="21" t="str">
        <x:v>Kursregeln auf eigene Texte anwenden, Beispieltext nicht übernehmen.</x:v>
      </x:c>
    </x:row>
    <x:row r="13" ht="46" customHeight="1">
      <x:c r="A13" s="21" t="str">
        <x:v>Offene Nachfragen</x:v>
      </x:c>
      <x:c r="B13" s="21" t="str">
        <x:v>Ella / Lynnilynsen / Mäc</x:v>
      </x:c>
      <x:c r="C13" s="21" t="str">
        <x:v>Welche Felder waren vor dem Verschwinden gespeichert? Welcher Browser/Handy? Wie wurde die Mehrfachauswahl geschlossen? Anreise-Bestätigung in welcher Situation unsichtbar?</x:v>
      </x:c>
      <x:c r="D13" s="21" t="str">
        <x:v>Konkrete Reproduktionsschritte mit Gerät/Browser/Stand festhalten; Ursache erst nach Prüfung bestätigen.</x:v>
      </x:c>
    </x:row>
    <x:row r="14" ht="46" customHeight="1">
      <x:c r="A14" s="21" t="str">
        <x:v>Offene Nachfrage zur Bewertung</x:v>
      </x:c>
      <x:c r="B14" s="21" t="str">
        <x:v>P15 · TheMazeBoy</x:v>
      </x:c>
      <x:c r="C14" s="21" t="str">
        <x:v>War 1 = sehr schwierig beabsichtigt? Freitext wirkt positiver. Rohwert bleibt unverändert.</x:v>
      </x:c>
      <x:c r="D14" s="21" t="str">
        <x:v>Antwort dokumentieren; Original und gegebenenfalls ausdrücklich bestätigte Korrektur getrennt aufbewahren.</x:v>
      </x:c>
    </x:row>
    <x:row r="15" ht="46" customHeight="1">
      <x:c r="A15" s="21" t="str">
        <x:v>Testabgrenzung</x:v>
      </x:c>
      <x:c r="B15" s="21" t="str">
        <x:v>Testversion vs. spätere App</x:v>
      </x:c>
      <x:c r="C15" s="21" t="str">
        <x:v>Erfundene Auswahlpersonen, nur eigene Zimmeransicht im Test, Gast-Sitzung statt PKC-Login, E-Mail noch nicht integriert. Keine Aussage zur realen gemeinsamen Nutzung möglich.</x:v>
      </x:c>
      <x:c r="D15" s="21" t="str">
        <x:v>Später Integration mit Rollen, echten Mitgliedern, Benachrichtigungen und E-Mail gesondert testen.</x:v>
      </x:c>
    </x:row>
    <x:row r="16" ht="46" customHeight="1">
      <x:c r="A16" s="21" t="str">
        <x:v>Messgrenzen</x:v>
      </x:c>
      <x:c r="B16" s="21" t="str">
        <x:v>Alle 13 Websitebögen: Handy</x:v>
      </x:c>
      <x:c r="C16" s="21" t="str">
        <x:v>Kein belegter Desktop-Test. Keine objektiven Zeiten/Klickpfade; Frageeinträge belegen Versand, nicht Auffindbarkeit ohne Hilfe.</x:v>
      </x:c>
      <x:c r="D16" s="21" t="str">
        <x:v>Neue Runde mit Handy und PC, Aufgabenstart/-ende, Hilfe und Erfolg pro Aufgabe protokollieren.</x:v>
      </x:c>
    </x:row>
  </x:sheetData>
  <x:mergeCells>
    <x:mergeCell ref="A1:D1"/>
    <x:mergeCell ref="A2:D2"/>
  </x:mergeCells>
  <x:pageMargins left="0.7" right="0.7" top="0.75" bottom="0.75" header="0.3" footer="0.3"/>
</x:worksheet>
</file>